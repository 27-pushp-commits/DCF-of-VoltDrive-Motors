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a4e8207d84fa710/Desktop/Git Hub/"/>
    </mc:Choice>
  </mc:AlternateContent>
  <xr:revisionPtr revIDLastSave="1012" documentId="8_{C79567D9-8880-4F86-9285-04C3267F0B01}" xr6:coauthVersionLast="47" xr6:coauthVersionMax="47" xr10:uidLastSave="{CC6FF06F-53EE-4DCB-9D57-EB3F7C60F55D}"/>
  <bookViews>
    <workbookView xWindow="-108" yWindow="-108" windowWidth="23256" windowHeight="12456" activeTab="2" xr2:uid="{10292A0B-F178-4EBB-90B0-CE6CA710649F}"/>
  </bookViews>
  <sheets>
    <sheet name="Cover" sheetId="10" r:id="rId1"/>
    <sheet name="Assumptions" sheetId="9" r:id="rId2"/>
    <sheet name="Income Statement" sheetId="1" r:id="rId3"/>
    <sheet name="Balance Sheet" sheetId="2" r:id="rId4"/>
    <sheet name="Cash Flow Statement" sheetId="3" r:id="rId5"/>
    <sheet name="WACC" sheetId="4" r:id="rId6"/>
    <sheet name="DCF Valuation" sheetId="5" r:id="rId7"/>
    <sheet name="Revenue &amp; Cost Drivers" sheetId="6" r:id="rId8"/>
    <sheet name="Capacity Expansion" sheetId="7" r:id="rId9"/>
    <sheet name="Debt Schedule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5" i="3" l="1"/>
  <c r="E25" i="3"/>
  <c r="F25" i="3"/>
  <c r="G25" i="3"/>
  <c r="H25" i="3"/>
  <c r="B24" i="5"/>
  <c r="G6" i="5" s="1"/>
  <c r="C27" i="2"/>
  <c r="B27" i="2"/>
  <c r="C26" i="2"/>
  <c r="D26" i="2" s="1"/>
  <c r="E26" i="2" s="1"/>
  <c r="F26" i="2" s="1"/>
  <c r="B26" i="2"/>
  <c r="C25" i="2"/>
  <c r="D25" i="2" s="1"/>
  <c r="E25" i="2" s="1"/>
  <c r="F25" i="2" s="1"/>
  <c r="B25" i="2"/>
  <c r="C24" i="2"/>
  <c r="D24" i="2" s="1"/>
  <c r="E24" i="2" s="1"/>
  <c r="F24" i="2" s="1"/>
  <c r="B24" i="2"/>
  <c r="G25" i="8"/>
  <c r="F25" i="8"/>
  <c r="E25" i="8"/>
  <c r="D25" i="8"/>
  <c r="C25" i="8"/>
  <c r="G24" i="8"/>
  <c r="F24" i="8"/>
  <c r="E24" i="8"/>
  <c r="D24" i="8"/>
  <c r="C24" i="8"/>
  <c r="G23" i="8"/>
  <c r="F23" i="8"/>
  <c r="E23" i="8"/>
  <c r="D23" i="8"/>
  <c r="C23" i="8"/>
  <c r="B21" i="8"/>
  <c r="B30" i="5" s="1"/>
  <c r="B20" i="8"/>
  <c r="B14" i="8"/>
  <c r="B13" i="8"/>
  <c r="B12" i="8"/>
  <c r="D9" i="8"/>
  <c r="B16" i="4"/>
  <c r="B25" i="4"/>
  <c r="B24" i="4"/>
  <c r="B32" i="5" s="1"/>
  <c r="B11" i="4"/>
  <c r="B10" i="4"/>
  <c r="G16" i="8" s="1"/>
  <c r="B5" i="4"/>
  <c r="B6" i="4"/>
  <c r="B4" i="4"/>
  <c r="G7" i="8"/>
  <c r="F7" i="8"/>
  <c r="E7" i="8"/>
  <c r="D7" i="8"/>
  <c r="G6" i="8"/>
  <c r="F6" i="8"/>
  <c r="E6" i="8"/>
  <c r="D6" i="8"/>
  <c r="C7" i="8"/>
  <c r="C6" i="8"/>
  <c r="B8" i="8"/>
  <c r="C5" i="8" s="1"/>
  <c r="B5" i="8"/>
  <c r="B29" i="7"/>
  <c r="C29" i="7" s="1"/>
  <c r="D29" i="7" s="1"/>
  <c r="E29" i="7" s="1"/>
  <c r="F29" i="7" s="1"/>
  <c r="G29" i="7" s="1"/>
  <c r="B23" i="7"/>
  <c r="B21" i="7"/>
  <c r="B18" i="7"/>
  <c r="B22" i="7" s="1"/>
  <c r="G28" i="7"/>
  <c r="C28" i="7"/>
  <c r="D28" i="7" s="1"/>
  <c r="G15" i="7"/>
  <c r="F15" i="7"/>
  <c r="E15" i="7"/>
  <c r="D15" i="7"/>
  <c r="C15" i="7"/>
  <c r="G7" i="7"/>
  <c r="C7" i="7"/>
  <c r="B12" i="7"/>
  <c r="C9" i="7" s="1"/>
  <c r="G20" i="6"/>
  <c r="F20" i="6"/>
  <c r="E20" i="6"/>
  <c r="D20" i="6"/>
  <c r="C20" i="6"/>
  <c r="D18" i="6"/>
  <c r="E18" i="6"/>
  <c r="F18" i="6"/>
  <c r="G18" i="6"/>
  <c r="C18" i="6"/>
  <c r="G7" i="6"/>
  <c r="D7" i="6"/>
  <c r="E7" i="6" s="1"/>
  <c r="D6" i="6"/>
  <c r="E6" i="6"/>
  <c r="F6" i="6"/>
  <c r="G6" i="6"/>
  <c r="C6" i="6"/>
  <c r="B21" i="6"/>
  <c r="B19" i="6"/>
  <c r="C23" i="6"/>
  <c r="D23" i="6"/>
  <c r="E23" i="6"/>
  <c r="F23" i="6"/>
  <c r="G23" i="6"/>
  <c r="B23" i="6"/>
  <c r="B9" i="6" s="1"/>
  <c r="B16" i="6"/>
  <c r="C14" i="6"/>
  <c r="D14" i="6"/>
  <c r="E14" i="6"/>
  <c r="F14" i="6"/>
  <c r="G14" i="6"/>
  <c r="B14" i="6"/>
  <c r="C13" i="6"/>
  <c r="D13" i="6"/>
  <c r="E13" i="6"/>
  <c r="F13" i="6"/>
  <c r="G13" i="6"/>
  <c r="B13" i="6"/>
  <c r="B24" i="3"/>
  <c r="C23" i="3"/>
  <c r="C20" i="3"/>
  <c r="B20" i="3"/>
  <c r="C14" i="3"/>
  <c r="B14" i="3"/>
  <c r="C9" i="3"/>
  <c r="C8" i="3"/>
  <c r="C7" i="3"/>
  <c r="C6" i="3"/>
  <c r="B6" i="3"/>
  <c r="C20" i="2"/>
  <c r="B20" i="2"/>
  <c r="C14" i="2"/>
  <c r="C16" i="2" s="1"/>
  <c r="B14" i="2"/>
  <c r="B16" i="2" s="1"/>
  <c r="B21" i="2" s="1"/>
  <c r="C8" i="2"/>
  <c r="C10" i="2" s="1"/>
  <c r="B8" i="2"/>
  <c r="B10" i="2" s="1"/>
  <c r="B22" i="2" s="1"/>
  <c r="B20" i="1"/>
  <c r="C19" i="1"/>
  <c r="B19" i="1"/>
  <c r="B13" i="1"/>
  <c r="B15" i="1" s="1"/>
  <c r="B17" i="1" s="1"/>
  <c r="C11" i="1"/>
  <c r="C20" i="1" s="1"/>
  <c r="B11" i="1"/>
  <c r="C8" i="1"/>
  <c r="B8" i="1"/>
  <c r="C6" i="1"/>
  <c r="B21" i="1" l="1"/>
  <c r="B5" i="3"/>
  <c r="B10" i="3" s="1"/>
  <c r="B22" i="3" s="1"/>
  <c r="C13" i="1"/>
  <c r="C15" i="1" s="1"/>
  <c r="C17" i="1" s="1"/>
  <c r="B12" i="4"/>
  <c r="D7" i="7"/>
  <c r="E7" i="7" s="1"/>
  <c r="F7" i="7" s="1"/>
  <c r="D16" i="8"/>
  <c r="C16" i="8"/>
  <c r="G15" i="6"/>
  <c r="B7" i="4"/>
  <c r="C9" i="8"/>
  <c r="C10" i="8" s="1"/>
  <c r="E9" i="8"/>
  <c r="E16" i="8"/>
  <c r="F9" i="8"/>
  <c r="C21" i="2"/>
  <c r="C22" i="2" s="1"/>
  <c r="C28" i="2"/>
  <c r="B15" i="4"/>
  <c r="G9" i="8"/>
  <c r="F16" i="8"/>
  <c r="F15" i="6"/>
  <c r="E15" i="6"/>
  <c r="C15" i="6"/>
  <c r="D15" i="6"/>
  <c r="B15" i="6"/>
  <c r="E8" i="6"/>
  <c r="F7" i="6"/>
  <c r="F8" i="6" s="1"/>
  <c r="B10" i="6"/>
  <c r="B11" i="6" s="1"/>
  <c r="B5" i="6"/>
  <c r="C7" i="6"/>
  <c r="B24" i="7"/>
  <c r="C21" i="7" s="1"/>
  <c r="E28" i="7"/>
  <c r="B15" i="8"/>
  <c r="B19" i="8" s="1"/>
  <c r="B29" i="5" s="1"/>
  <c r="C8" i="8"/>
  <c r="G24" i="2"/>
  <c r="G25" i="2"/>
  <c r="G26" i="2"/>
  <c r="C5" i="3" l="1"/>
  <c r="C10" i="3" s="1"/>
  <c r="C22" i="3" s="1"/>
  <c r="C24" i="3" s="1"/>
  <c r="D23" i="3" s="1"/>
  <c r="C21" i="1"/>
  <c r="B17" i="4"/>
  <c r="B19" i="4" s="1"/>
  <c r="G8" i="6"/>
  <c r="B17" i="6"/>
  <c r="B18" i="6"/>
  <c r="B20" i="6"/>
  <c r="C8" i="6"/>
  <c r="D8" i="6"/>
  <c r="B25" i="6"/>
  <c r="B26" i="6" s="1"/>
  <c r="B5" i="7"/>
  <c r="B7" i="7" s="1"/>
  <c r="B6" i="7" s="1"/>
  <c r="C5" i="6"/>
  <c r="F28" i="7"/>
  <c r="C23" i="7"/>
  <c r="D12" i="1" s="1"/>
  <c r="C12" i="8"/>
  <c r="C17" i="8" s="1"/>
  <c r="C20" i="8" s="1"/>
  <c r="D14" i="1" s="1"/>
  <c r="D5" i="8"/>
  <c r="D13" i="2"/>
  <c r="H25" i="2"/>
  <c r="H24" i="2"/>
  <c r="H26" i="2"/>
  <c r="C14" i="8" l="1"/>
  <c r="C25" i="3"/>
  <c r="B18" i="4"/>
  <c r="B21" i="4" s="1"/>
  <c r="B25" i="5" s="1"/>
  <c r="D5" i="6"/>
  <c r="C5" i="7"/>
  <c r="C6" i="7" s="1"/>
  <c r="C10" i="7" s="1"/>
  <c r="C11" i="7" s="1"/>
  <c r="C16" i="6"/>
  <c r="D7" i="1" s="1"/>
  <c r="C9" i="6"/>
  <c r="B9" i="5"/>
  <c r="D6" i="3"/>
  <c r="B13" i="5"/>
  <c r="D8" i="8"/>
  <c r="D10" i="8"/>
  <c r="D18" i="3"/>
  <c r="C19" i="5" l="1"/>
  <c r="F19" i="5"/>
  <c r="E19" i="5"/>
  <c r="D19" i="5"/>
  <c r="B19" i="5"/>
  <c r="C10" i="6"/>
  <c r="C11" i="6"/>
  <c r="D12" i="2"/>
  <c r="D7" i="2"/>
  <c r="D8" i="3" s="1"/>
  <c r="C12" i="7"/>
  <c r="D9" i="7" s="1"/>
  <c r="C16" i="7"/>
  <c r="D9" i="6"/>
  <c r="E5" i="6"/>
  <c r="D5" i="7"/>
  <c r="D6" i="7" s="1"/>
  <c r="D16" i="6"/>
  <c r="E7" i="1" s="1"/>
  <c r="E5" i="8"/>
  <c r="E13" i="2"/>
  <c r="D10" i="6" l="1"/>
  <c r="D11" i="6" s="1"/>
  <c r="D10" i="7"/>
  <c r="D11" i="7" s="1"/>
  <c r="D16" i="7" s="1"/>
  <c r="D9" i="3"/>
  <c r="D14" i="2"/>
  <c r="C18" i="7"/>
  <c r="C19" i="6"/>
  <c r="D9" i="1" s="1"/>
  <c r="C17" i="6"/>
  <c r="D5" i="1"/>
  <c r="C21" i="6"/>
  <c r="D10" i="1" s="1"/>
  <c r="C17" i="7"/>
  <c r="E12" i="2"/>
  <c r="E9" i="3" s="1"/>
  <c r="E7" i="2"/>
  <c r="E8" i="3" s="1"/>
  <c r="E9" i="6"/>
  <c r="F5" i="6"/>
  <c r="E5" i="7"/>
  <c r="E6" i="7" s="1"/>
  <c r="E16" i="6"/>
  <c r="F7" i="1" s="1"/>
  <c r="E8" i="8"/>
  <c r="E10" i="8"/>
  <c r="D19" i="6" l="1"/>
  <c r="E9" i="1" s="1"/>
  <c r="E5" i="1"/>
  <c r="D21" i="6"/>
  <c r="E10" i="1" s="1"/>
  <c r="D17" i="6"/>
  <c r="D17" i="7"/>
  <c r="D18" i="7" s="1"/>
  <c r="C13" i="8"/>
  <c r="B14" i="5"/>
  <c r="D13" i="3"/>
  <c r="D14" i="3" s="1"/>
  <c r="C22" i="7"/>
  <c r="C24" i="7" s="1"/>
  <c r="E10" i="6"/>
  <c r="E11" i="6" s="1"/>
  <c r="D12" i="7"/>
  <c r="E9" i="7" s="1"/>
  <c r="E14" i="2"/>
  <c r="F7" i="2"/>
  <c r="F8" i="3" s="1"/>
  <c r="F12" i="2"/>
  <c r="F9" i="3" s="1"/>
  <c r="B5" i="5"/>
  <c r="D6" i="1"/>
  <c r="B6" i="5" s="1"/>
  <c r="D8" i="1"/>
  <c r="D6" i="2"/>
  <c r="F9" i="6"/>
  <c r="G5" i="6"/>
  <c r="F5" i="7"/>
  <c r="F6" i="7" s="1"/>
  <c r="F16" i="6"/>
  <c r="G7" i="1" s="1"/>
  <c r="F5" i="8"/>
  <c r="F13" i="2"/>
  <c r="F5" i="1" l="1"/>
  <c r="E21" i="6"/>
  <c r="F10" i="1" s="1"/>
  <c r="E19" i="6"/>
  <c r="F9" i="1" s="1"/>
  <c r="E17" i="6"/>
  <c r="E17" i="7"/>
  <c r="F10" i="6"/>
  <c r="F11" i="6" s="1"/>
  <c r="C14" i="5"/>
  <c r="E13" i="3"/>
  <c r="E14" i="3" s="1"/>
  <c r="D22" i="7"/>
  <c r="D13" i="8"/>
  <c r="E17" i="3" s="1"/>
  <c r="D7" i="3"/>
  <c r="D27" i="2"/>
  <c r="D28" i="2" s="1"/>
  <c r="B15" i="5" s="1"/>
  <c r="D17" i="3"/>
  <c r="C15" i="8"/>
  <c r="E6" i="1"/>
  <c r="C6" i="5" s="1"/>
  <c r="E6" i="2"/>
  <c r="C5" i="5"/>
  <c r="E8" i="1"/>
  <c r="G9" i="6"/>
  <c r="G5" i="7"/>
  <c r="G6" i="7" s="1"/>
  <c r="G16" i="6"/>
  <c r="H7" i="1" s="1"/>
  <c r="F14" i="2"/>
  <c r="D11" i="1"/>
  <c r="D19" i="1"/>
  <c r="G7" i="2"/>
  <c r="G8" i="3" s="1"/>
  <c r="G12" i="2"/>
  <c r="G9" i="3" s="1"/>
  <c r="E10" i="7"/>
  <c r="E11" i="7" s="1"/>
  <c r="E16" i="7" s="1"/>
  <c r="D21" i="7"/>
  <c r="D9" i="2"/>
  <c r="F8" i="8"/>
  <c r="F10" i="8"/>
  <c r="E18" i="7" l="1"/>
  <c r="E13" i="8" s="1"/>
  <c r="F17" i="3" s="1"/>
  <c r="F17" i="6"/>
  <c r="G5" i="1"/>
  <c r="F21" i="6"/>
  <c r="G10" i="1" s="1"/>
  <c r="F19" i="6"/>
  <c r="G9" i="1" s="1"/>
  <c r="F17" i="7"/>
  <c r="D23" i="7"/>
  <c r="E12" i="1" s="1"/>
  <c r="E11" i="1"/>
  <c r="E19" i="1"/>
  <c r="G10" i="6"/>
  <c r="G11" i="6" s="1"/>
  <c r="E12" i="7"/>
  <c r="F9" i="7" s="1"/>
  <c r="E7" i="3"/>
  <c r="E27" i="2"/>
  <c r="E28" i="2" s="1"/>
  <c r="C15" i="5" s="1"/>
  <c r="B7" i="5"/>
  <c r="D20" i="1"/>
  <c r="D13" i="1"/>
  <c r="D15" i="1" s="1"/>
  <c r="D16" i="1" s="1"/>
  <c r="D17" i="1" s="1"/>
  <c r="H12" i="2"/>
  <c r="H9" i="3" s="1"/>
  <c r="H7" i="2"/>
  <c r="H8" i="3" s="1"/>
  <c r="D15" i="2"/>
  <c r="D16" i="2" s="1"/>
  <c r="C19" i="8"/>
  <c r="D12" i="8"/>
  <c r="D5" i="5"/>
  <c r="F6" i="1"/>
  <c r="D6" i="5" s="1"/>
  <c r="F8" i="1"/>
  <c r="F6" i="2"/>
  <c r="G5" i="8"/>
  <c r="G13" i="2"/>
  <c r="G14" i="2" s="1"/>
  <c r="D14" i="5" l="1"/>
  <c r="F13" i="3"/>
  <c r="F14" i="3" s="1"/>
  <c r="E22" i="7"/>
  <c r="D24" i="7"/>
  <c r="F7" i="3"/>
  <c r="F27" i="2"/>
  <c r="F28" i="2" s="1"/>
  <c r="D15" i="5" s="1"/>
  <c r="D21" i="1"/>
  <c r="D5" i="3"/>
  <c r="D10" i="3" s="1"/>
  <c r="D19" i="3" s="1"/>
  <c r="D19" i="2"/>
  <c r="C9" i="5"/>
  <c r="C13" i="5"/>
  <c r="E6" i="3"/>
  <c r="E21" i="7"/>
  <c r="E9" i="2"/>
  <c r="B8" i="5"/>
  <c r="B10" i="5"/>
  <c r="B11" i="5" s="1"/>
  <c r="B12" i="5" s="1"/>
  <c r="B16" i="5" s="1"/>
  <c r="B20" i="5" s="1"/>
  <c r="G17" i="6"/>
  <c r="H5" i="1"/>
  <c r="G21" i="6"/>
  <c r="H10" i="1" s="1"/>
  <c r="G19" i="6"/>
  <c r="H9" i="1" s="1"/>
  <c r="G17" i="7"/>
  <c r="F10" i="7"/>
  <c r="F11" i="7" s="1"/>
  <c r="F16" i="7" s="1"/>
  <c r="F18" i="7" s="1"/>
  <c r="D17" i="8"/>
  <c r="D20" i="8" s="1"/>
  <c r="E14" i="1" s="1"/>
  <c r="D14" i="8"/>
  <c r="E18" i="3" s="1"/>
  <c r="F19" i="1"/>
  <c r="F11" i="1"/>
  <c r="E5" i="5"/>
  <c r="G8" i="1"/>
  <c r="G6" i="1"/>
  <c r="E6" i="5" s="1"/>
  <c r="G6" i="2"/>
  <c r="C7" i="5"/>
  <c r="C8" i="5" s="1"/>
  <c r="E20" i="1"/>
  <c r="E13" i="1"/>
  <c r="G8" i="8"/>
  <c r="G10" i="8"/>
  <c r="E15" i="1" l="1"/>
  <c r="E16" i="1" s="1"/>
  <c r="E17" i="1" s="1"/>
  <c r="D15" i="8"/>
  <c r="E15" i="2" s="1"/>
  <c r="E16" i="2" s="1"/>
  <c r="D7" i="5"/>
  <c r="D8" i="5" s="1"/>
  <c r="F20" i="1"/>
  <c r="F5" i="5"/>
  <c r="G5" i="5" s="1"/>
  <c r="H8" i="1"/>
  <c r="H6" i="1"/>
  <c r="F6" i="5" s="1"/>
  <c r="H6" i="2"/>
  <c r="C10" i="5"/>
  <c r="C11" i="5" s="1"/>
  <c r="C12" i="5" s="1"/>
  <c r="C16" i="5" s="1"/>
  <c r="C20" i="5" s="1"/>
  <c r="G7" i="3"/>
  <c r="G27" i="2"/>
  <c r="G28" i="2" s="1"/>
  <c r="E15" i="5" s="1"/>
  <c r="D18" i="2"/>
  <c r="D20" i="3"/>
  <c r="D22" i="3" s="1"/>
  <c r="D24" i="3" s="1"/>
  <c r="F22" i="7"/>
  <c r="E14" i="5"/>
  <c r="G13" i="3"/>
  <c r="G14" i="3" s="1"/>
  <c r="F13" i="8"/>
  <c r="G17" i="3" s="1"/>
  <c r="E12" i="8"/>
  <c r="G19" i="1"/>
  <c r="G11" i="1"/>
  <c r="F12" i="7"/>
  <c r="G9" i="7" s="1"/>
  <c r="E23" i="7"/>
  <c r="F12" i="1" s="1"/>
  <c r="F13" i="1" s="1"/>
  <c r="H13" i="2"/>
  <c r="H14" i="2" s="1"/>
  <c r="D19" i="8" l="1"/>
  <c r="E23" i="3"/>
  <c r="D5" i="2"/>
  <c r="H7" i="3"/>
  <c r="H27" i="2"/>
  <c r="H28" i="2" s="1"/>
  <c r="F15" i="5" s="1"/>
  <c r="G15" i="5" s="1"/>
  <c r="H19" i="1"/>
  <c r="H11" i="1"/>
  <c r="D20" i="2"/>
  <c r="D21" i="2" s="1"/>
  <c r="E7" i="5"/>
  <c r="E8" i="5" s="1"/>
  <c r="G20" i="1"/>
  <c r="D13" i="5"/>
  <c r="D9" i="5"/>
  <c r="D10" i="5" s="1"/>
  <c r="D11" i="5" s="1"/>
  <c r="D12" i="5" s="1"/>
  <c r="F6" i="3"/>
  <c r="E17" i="8"/>
  <c r="E20" i="8" s="1"/>
  <c r="F14" i="1" s="1"/>
  <c r="F15" i="1" s="1"/>
  <c r="F16" i="1" s="1"/>
  <c r="F17" i="1" s="1"/>
  <c r="E14" i="8"/>
  <c r="F18" i="3" s="1"/>
  <c r="E24" i="7"/>
  <c r="E5" i="3"/>
  <c r="E10" i="3" s="1"/>
  <c r="E21" i="1"/>
  <c r="G10" i="7"/>
  <c r="G11" i="7" s="1"/>
  <c r="G16" i="7" s="1"/>
  <c r="G18" i="7" s="1"/>
  <c r="E19" i="2"/>
  <c r="E19" i="3" l="1"/>
  <c r="E20" i="3" s="1"/>
  <c r="E22" i="3" s="1"/>
  <c r="E24" i="3" s="1"/>
  <c r="F23" i="3" s="1"/>
  <c r="D16" i="5"/>
  <c r="D20" i="5" s="1"/>
  <c r="H13" i="3"/>
  <c r="H14" i="3" s="1"/>
  <c r="F14" i="5"/>
  <c r="G14" i="5" s="1"/>
  <c r="G13" i="8"/>
  <c r="H17" i="3" s="1"/>
  <c r="G22" i="7"/>
  <c r="F7" i="5"/>
  <c r="H20" i="1"/>
  <c r="G12" i="7"/>
  <c r="F21" i="1"/>
  <c r="F5" i="3"/>
  <c r="F10" i="3" s="1"/>
  <c r="F19" i="2"/>
  <c r="F21" i="7"/>
  <c r="F9" i="2"/>
  <c r="C21" i="8"/>
  <c r="D8" i="2"/>
  <c r="D10" i="2" s="1"/>
  <c r="E15" i="8"/>
  <c r="E5" i="2" l="1"/>
  <c r="E18" i="2"/>
  <c r="E20" i="2" s="1"/>
  <c r="E21" i="2" s="1"/>
  <c r="G7" i="5"/>
  <c r="G8" i="5" s="1"/>
  <c r="F8" i="5"/>
  <c r="F23" i="7"/>
  <c r="G12" i="1" s="1"/>
  <c r="F19" i="3"/>
  <c r="F15" i="2"/>
  <c r="F16" i="2" s="1"/>
  <c r="E19" i="8"/>
  <c r="F12" i="8"/>
  <c r="D21" i="8"/>
  <c r="E8" i="2"/>
  <c r="E10" i="2" s="1"/>
  <c r="F24" i="7" l="1"/>
  <c r="G21" i="7" s="1"/>
  <c r="F20" i="3"/>
  <c r="F22" i="3" s="1"/>
  <c r="F24" i="3" s="1"/>
  <c r="F18" i="2"/>
  <c r="F20" i="2" s="1"/>
  <c r="F21" i="2" s="1"/>
  <c r="G9" i="2"/>
  <c r="F17" i="8"/>
  <c r="F20" i="8" s="1"/>
  <c r="G14" i="1" s="1"/>
  <c r="G15" i="1" s="1"/>
  <c r="G16" i="1" s="1"/>
  <c r="G17" i="1" s="1"/>
  <c r="F14" i="8"/>
  <c r="G18" i="3" s="1"/>
  <c r="G6" i="3"/>
  <c r="E9" i="5"/>
  <c r="E10" i="5" s="1"/>
  <c r="E11" i="5" s="1"/>
  <c r="E12" i="5" s="1"/>
  <c r="E13" i="5"/>
  <c r="G13" i="1"/>
  <c r="E16" i="5" l="1"/>
  <c r="E20" i="5" s="1"/>
  <c r="G19" i="2"/>
  <c r="G21" i="1"/>
  <c r="G5" i="3"/>
  <c r="G10" i="3" s="1"/>
  <c r="G23" i="7"/>
  <c r="H12" i="1" s="1"/>
  <c r="F15" i="8"/>
  <c r="F5" i="2"/>
  <c r="G23" i="3"/>
  <c r="G24" i="7" l="1"/>
  <c r="H9" i="2" s="1"/>
  <c r="G19" i="3"/>
  <c r="G18" i="2" s="1"/>
  <c r="G20" i="2" s="1"/>
  <c r="E21" i="8"/>
  <c r="F8" i="2"/>
  <c r="F10" i="2" s="1"/>
  <c r="F19" i="8"/>
  <c r="G12" i="8"/>
  <c r="G15" i="2"/>
  <c r="G16" i="2" s="1"/>
  <c r="H6" i="3"/>
  <c r="F9" i="5"/>
  <c r="F13" i="5"/>
  <c r="G13" i="5" s="1"/>
  <c r="H13" i="1"/>
  <c r="G21" i="2" l="1"/>
  <c r="G20" i="3"/>
  <c r="G22" i="3" s="1"/>
  <c r="G24" i="3" s="1"/>
  <c r="G5" i="2" s="1"/>
  <c r="G9" i="5"/>
  <c r="G10" i="5" s="1"/>
  <c r="F10" i="5"/>
  <c r="G14" i="8"/>
  <c r="H18" i="3" s="1"/>
  <c r="G17" i="8"/>
  <c r="G20" i="8" s="1"/>
  <c r="H14" i="1" s="1"/>
  <c r="H15" i="1" s="1"/>
  <c r="H16" i="1" s="1"/>
  <c r="H17" i="1" s="1"/>
  <c r="H23" i="3" l="1"/>
  <c r="G15" i="8"/>
  <c r="G8" i="2"/>
  <c r="G10" i="2" s="1"/>
  <c r="F21" i="8"/>
  <c r="G19" i="8"/>
  <c r="H15" i="2"/>
  <c r="H16" i="2" s="1"/>
  <c r="F11" i="5"/>
  <c r="G11" i="5" s="1"/>
  <c r="G12" i="5" s="1"/>
  <c r="G16" i="5" s="1"/>
  <c r="H5" i="3"/>
  <c r="H10" i="3" s="1"/>
  <c r="H21" i="1"/>
  <c r="H19" i="2"/>
  <c r="H19" i="3" l="1"/>
  <c r="H18" i="2" s="1"/>
  <c r="H20" i="2" s="1"/>
  <c r="H21" i="2" s="1"/>
  <c r="F12" i="5"/>
  <c r="F16" i="5" s="1"/>
  <c r="F20" i="5" s="1"/>
  <c r="B23" i="5" s="1"/>
  <c r="B26" i="5" l="1"/>
  <c r="B27" i="5" s="1"/>
  <c r="B28" i="5" s="1"/>
  <c r="B31" i="5" s="1"/>
  <c r="B33" i="5" s="1"/>
  <c r="H20" i="3"/>
  <c r="H22" i="3" s="1"/>
  <c r="H24" i="3" s="1"/>
  <c r="H5" i="2" s="1"/>
  <c r="H8" i="2" s="1"/>
  <c r="H10" i="2" s="1"/>
  <c r="G21" i="8" l="1"/>
</calcChain>
</file>

<file path=xl/sharedStrings.xml><?xml version="1.0" encoding="utf-8"?>
<sst xmlns="http://schemas.openxmlformats.org/spreadsheetml/2006/main" count="278" uniqueCount="203">
  <si>
    <t>Income Statement ($ in millions)</t>
  </si>
  <si>
    <t>FY2024A</t>
  </si>
  <si>
    <t>FY2025A</t>
  </si>
  <si>
    <t>Revenue</t>
  </si>
  <si>
    <t>Revenue Growth %</t>
  </si>
  <si>
    <t>Cost of Goods Sold</t>
  </si>
  <si>
    <t>Gross Profit</t>
  </si>
  <si>
    <t>R&amp;D Expense</t>
  </si>
  <si>
    <t>SG&amp;A Expense</t>
  </si>
  <si>
    <t>EBITDA</t>
  </si>
  <si>
    <t>Depreciation &amp; Amortization</t>
  </si>
  <si>
    <t>EBIT</t>
  </si>
  <si>
    <t>Interest Expense</t>
  </si>
  <si>
    <t>EBT (Pre-tax Income)</t>
  </si>
  <si>
    <t>Tax Expense</t>
  </si>
  <si>
    <t>Net Income</t>
  </si>
  <si>
    <t>Gross Margin %</t>
  </si>
  <si>
    <t>EBITDA Margin %</t>
  </si>
  <si>
    <t>Net Margin %</t>
  </si>
  <si>
    <t>Balance Sheet ($ in millions)</t>
  </si>
  <si>
    <t>Assets</t>
  </si>
  <si>
    <t>Cash &amp; Equivalents</t>
  </si>
  <si>
    <t>Accounts Receivable</t>
  </si>
  <si>
    <t>Inventory</t>
  </si>
  <si>
    <t>Total Current Assets</t>
  </si>
  <si>
    <t>Net PP&amp;E (incl. Gigafactory)</t>
  </si>
  <si>
    <t>Total Assets</t>
  </si>
  <si>
    <t>Liabilities</t>
  </si>
  <si>
    <t>Accounts Payable</t>
  </si>
  <si>
    <t>Short-term Debt</t>
  </si>
  <si>
    <t>Total Current Liabilities</t>
  </si>
  <si>
    <t>Long-term Debt</t>
  </si>
  <si>
    <t>Total Liabilities</t>
  </si>
  <si>
    <t>Equity</t>
  </si>
  <si>
    <t>Common Stock &amp; APIC</t>
  </si>
  <si>
    <t>Retained Earnings</t>
  </si>
  <si>
    <t>Total Equity</t>
  </si>
  <si>
    <t>Total Liabilities &amp; Equity</t>
  </si>
  <si>
    <t>Balance Check (should be 0)</t>
  </si>
  <si>
    <t>Cash Flow Statement ($ in millions)</t>
  </si>
  <si>
    <t>Operating Activities</t>
  </si>
  <si>
    <t>Add: D&amp;A</t>
  </si>
  <si>
    <t>(Incr)/Decr in Accounts Receivable</t>
  </si>
  <si>
    <t>(Incr)/Decr in Inventory</t>
  </si>
  <si>
    <t>Incr/(Decr) in Accounts Payable</t>
  </si>
  <si>
    <t>Net Cash from Operating Activities</t>
  </si>
  <si>
    <t>Investing Activities</t>
  </si>
  <si>
    <t>Capital Expenditures</t>
  </si>
  <si>
    <t>Net Cash from Investing Activities</t>
  </si>
  <si>
    <t>Financing Activities</t>
  </si>
  <si>
    <t>Debt Issued</t>
  </si>
  <si>
    <t>Debt Repaid</t>
  </si>
  <si>
    <t>Equity Issued</t>
  </si>
  <si>
    <t>Net Cash from Financing Activities</t>
  </si>
  <si>
    <t>Net Change in Cash</t>
  </si>
  <si>
    <t>Beginning Cash Balance</t>
  </si>
  <si>
    <t>Ending Cash Balance</t>
  </si>
  <si>
    <t>Check vs. Balance Sheet Cash (should be 0)</t>
  </si>
  <si>
    <t>Fill in the yellow input cells and build the formulas in column B. Column D gives guidance only.</t>
  </si>
  <si>
    <t>Cost of Equity (CAPM)</t>
  </si>
  <si>
    <t>Risk-Free Rate (Rf)</t>
  </si>
  <si>
    <t>Levered Beta</t>
  </si>
  <si>
    <t>Equity Market Risk Premium (Rm – Rf)</t>
  </si>
  <si>
    <t>Cost of Equity (Ke)</t>
  </si>
  <si>
    <t>Cost of Debt</t>
  </si>
  <si>
    <t>Pre-tax Cost of Debt (Kd)</t>
  </si>
  <si>
    <t>Marginal Tax Rate (t)</t>
  </si>
  <si>
    <t>After-tax Cost of Debt</t>
  </si>
  <si>
    <t>Capital Structure (Market Value Weights)</t>
  </si>
  <si>
    <t>Market Value of Equity (E)</t>
  </si>
  <si>
    <t>Market Value of Debt (D)</t>
  </si>
  <si>
    <t>Total Capital (E + D)</t>
  </si>
  <si>
    <t>Weight of Equity (E / (E+D))</t>
  </si>
  <si>
    <t>Weight of Debt (D / (E+D))</t>
  </si>
  <si>
    <t>WACC</t>
  </si>
  <si>
    <t>$ in millions. Fill in every white cell below — no formulas are pre-built.</t>
  </si>
  <si>
    <t>FY2026E</t>
  </si>
  <si>
    <t>FY2027E</t>
  </si>
  <si>
    <t>FY2028E</t>
  </si>
  <si>
    <t>FY2029E</t>
  </si>
  <si>
    <t>FY2030E</t>
  </si>
  <si>
    <t>Terminal Year</t>
  </si>
  <si>
    <t>Less: D&amp;A</t>
  </si>
  <si>
    <t>Less: Taxes on EBIT</t>
  </si>
  <si>
    <t>EBIAT (NOPAT)</t>
  </si>
  <si>
    <t>Less: Capital Expenditures</t>
  </si>
  <si>
    <t>Less: Increase in Net Working Capital</t>
  </si>
  <si>
    <t>Unlevered Free Cash Flow</t>
  </si>
  <si>
    <t>Discount Period</t>
  </si>
  <si>
    <t>Discount Factor</t>
  </si>
  <si>
    <t>PV of Unlevered FCF</t>
  </si>
  <si>
    <t>Valuation Summary</t>
  </si>
  <si>
    <t>Sum of PV of Explicit-Period FCF</t>
  </si>
  <si>
    <t>Terminal Growth Rate (g)</t>
  </si>
  <si>
    <t>WACC (from WACC tab)</t>
  </si>
  <si>
    <t>Terminal Value (Gordon Growth)</t>
  </si>
  <si>
    <t>PV of Terminal Value</t>
  </si>
  <si>
    <t>Enterprise Value</t>
  </si>
  <si>
    <t>Less: Total Debt</t>
  </si>
  <si>
    <t>Add: Cash &amp; Equivalents</t>
  </si>
  <si>
    <t>Equity Value</t>
  </si>
  <si>
    <t>Diluted Shares Outstanding</t>
  </si>
  <si>
    <t>Implied Value per Share</t>
  </si>
  <si>
    <t>Build volume, price, and unit-cost drivers here, then feed the results into the DCF tab.</t>
  </si>
  <si>
    <t>Revenue Drivers</t>
  </si>
  <si>
    <t>Vehicles Sold (units, '000)</t>
  </si>
  <si>
    <t>Unit Growth %</t>
  </si>
  <si>
    <t>Average Selling Price (ASP, $'000/unit)</t>
  </si>
  <si>
    <t>ASP Growth %</t>
  </si>
  <si>
    <t>Revenue from Vehicle Sales ($mm)</t>
  </si>
  <si>
    <t>Other Revenue (services, software, energy) ($mm)</t>
  </si>
  <si>
    <t>Total Revenue ($mm)</t>
  </si>
  <si>
    <t>Cost Drivers</t>
  </si>
  <si>
    <t>Battery Cost per Unit ($'000)</t>
  </si>
  <si>
    <t>Other Materials/Assembly Cost per Unit ($'000)</t>
  </si>
  <si>
    <t>Total Variable Cost per Unit ($'000)</t>
  </si>
  <si>
    <t>COGS ($mm)</t>
  </si>
  <si>
    <t>R&amp;D as % of Revenue</t>
  </si>
  <si>
    <t>R&amp;D Expense ($mm)</t>
  </si>
  <si>
    <t>SG&amp;A as % of Revenue</t>
  </si>
  <si>
    <t>SG&amp;A Expense ($mm)</t>
  </si>
  <si>
    <t>Link required capacity to unit sales from the Revenue &amp; Cost Drivers tab, then size capex to close any capacity gap.</t>
  </si>
  <si>
    <t>Demand Side</t>
  </si>
  <si>
    <t>Required Units Sold (from Drivers tab, '000)</t>
  </si>
  <si>
    <t>Required Annual Capacity (units, '000)</t>
  </si>
  <si>
    <t>Utilization Target %</t>
  </si>
  <si>
    <t>Supply Side</t>
  </si>
  <si>
    <t>Existing Installed Capacity, Beginning (units, '000)</t>
  </si>
  <si>
    <t>Capacity Gap (Required – Existing)</t>
  </si>
  <si>
    <t>New Capacity to be Added (units, '000)</t>
  </si>
  <si>
    <t>Installed Capacity, Ending (units, '000)</t>
  </si>
  <si>
    <t>Capex Sizing</t>
  </si>
  <si>
    <t>Capex per Unit of New Capacity ($mm per '000 units)</t>
  </si>
  <si>
    <t>Growth / Expansion Capex ($mm)</t>
  </si>
  <si>
    <t>Maintenance Capex ($mm)</t>
  </si>
  <si>
    <t>Total Capex ($mm)</t>
  </si>
  <si>
    <t>PP&amp;E Roll-forward</t>
  </si>
  <si>
    <t>Net PP&amp;E, Beginning ($mm)</t>
  </si>
  <si>
    <t>Add: Total Capex ($mm)</t>
  </si>
  <si>
    <t>Less: D&amp;A ($mm)</t>
  </si>
  <si>
    <t>Net PP&amp;E, Ending ($mm)</t>
  </si>
  <si>
    <t>Build opening/closing balances, draws, and interest for each tranche; link interest expense back to the Income Statement.</t>
  </si>
  <si>
    <t>Short-Term Debt / Revolver</t>
  </si>
  <si>
    <t>Beginning Balance</t>
  </si>
  <si>
    <t>Draws</t>
  </si>
  <si>
    <t>Repayments</t>
  </si>
  <si>
    <t>Ending Balance</t>
  </si>
  <si>
    <t>Interest Rate %</t>
  </si>
  <si>
    <t>Long-Term Debt / Term Loan</t>
  </si>
  <si>
    <t>New Issuance (funds capex/expansion)</t>
  </si>
  <si>
    <t>Scheduled Repayments</t>
  </si>
  <si>
    <t>Total Debt Summary</t>
  </si>
  <si>
    <t>Total Debt, Ending Balance</t>
  </si>
  <si>
    <t>Total Interest Expense</t>
  </si>
  <si>
    <t>Cash Balance (min cash / sweep check)</t>
  </si>
  <si>
    <t>Value</t>
  </si>
  <si>
    <t>Cost of Capital &amp; Valuation Assumptions</t>
  </si>
  <si>
    <t>Diluted Shares Outstanding (mm)</t>
  </si>
  <si>
    <t>Reference Share Price ($)</t>
  </si>
  <si>
    <t>Volume &amp; Pricing Drivers</t>
  </si>
  <si>
    <t>Unit Growth % (Vehicles Sold)</t>
  </si>
  <si>
    <t>ASP Anchor ($'000/unit) — FY2027E &amp; FY2030E given; FY26E/28E/29E interpolated straight-line</t>
  </si>
  <si>
    <t>Other Revenue (% of Vehicle Sales Revenue)</t>
  </si>
  <si>
    <t>Unit Cost Drivers</t>
  </si>
  <si>
    <t>Operating Expense Ratios (% of Revenue)</t>
  </si>
  <si>
    <t>Capacity &amp; Capex Assumptions</t>
  </si>
  <si>
    <t>FY2025A Installed Capacity, Beginning (units, '000)</t>
  </si>
  <si>
    <t>Utilization Target % (anchors FY26E &amp; FY30E; FY27E-29E interpolated)</t>
  </si>
  <si>
    <t>Maintenance Capex (% of Revenue) (anchors FY26E &amp; FY30E; interpolated)</t>
  </si>
  <si>
    <t>Debt &amp; Financing Assumptions</t>
  </si>
  <si>
    <t>ST Debt Draws ($mm)</t>
  </si>
  <si>
    <t>ST Debt Repayments ($mm)</t>
  </si>
  <si>
    <t>New LT Debt (% of Total Capex)</t>
  </si>
  <si>
    <t>Scheduled LT Repayment (% of Beginning LT Balance)</t>
  </si>
  <si>
    <t>Minimum Cash Balance ($mm)</t>
  </si>
  <si>
    <t>Additional Assumptions (added)</t>
  </si>
  <si>
    <t>New LT Debt as % of Total Capex</t>
  </si>
  <si>
    <t>Minimum Cash Balance ($mm) - shortfall funded by equity issuance (CFS row 20)</t>
  </si>
  <si>
    <t>Additional Assumptions &amp; Reconciliation (added)</t>
  </si>
  <si>
    <t>Other Revenue as % of Vehicle Sales Revenue</t>
  </si>
  <si>
    <t>FY25A implied units back-solved: (Reported Revenue / (1 + Other %)) / ASP</t>
  </si>
  <si>
    <t>FY25A COGS implied by unit-cost drivers ($mm) = Units x $66.0k</t>
  </si>
  <si>
    <t>FY25A variance: driver-implied COGS less reported COGS ($mm)</t>
  </si>
  <si>
    <t>Equity Value Reference Inputs (ASSUMED - not given in brief)</t>
  </si>
  <si>
    <t>Reference Share Price ($) - proxy for latest funding round</t>
  </si>
  <si>
    <t>Working Capital Metrics (added)</t>
  </si>
  <si>
    <t>DSO (days) = AR / Revenue x 365</t>
  </si>
  <si>
    <t>DIO (days) = Inventory / COGS x 365</t>
  </si>
  <si>
    <t>DPO (days) = AP / COGS x 365</t>
  </si>
  <si>
    <t>Net Working Capital ($mm) = AR + Inventory - AP</t>
  </si>
  <si>
    <t>Increase / (Decrease) in NWC ($mm)</t>
  </si>
  <si>
    <t>Submitted to - Prof. Pulin Aggarwal</t>
  </si>
  <si>
    <t>Submitted by - Pushp (25PGDM155)</t>
  </si>
  <si>
    <t>DCF Model- Individual Assignment</t>
  </si>
  <si>
    <t>https://drive.google.com/file/d/1k_QBqPZNkdEYOCHSCVSIDzXzKsG8dEGS/view?usp=sharing</t>
  </si>
  <si>
    <t xml:space="preserve">Video Link - </t>
  </si>
  <si>
    <t>VoltDrive Motors - Assumptions</t>
  </si>
  <si>
    <t>VoltDrive Motors - EV Automobile Manufacturer</t>
  </si>
  <si>
    <t>VoltDrive Motors - WACC Calculation Template</t>
  </si>
  <si>
    <t xml:space="preserve">VoltDrive Motors - DCF Valuation </t>
  </si>
  <si>
    <t>VoltDrive Motors - Revenue &amp; Cost Drivers Template</t>
  </si>
  <si>
    <t>VoltDrive Motors - Capacity Expansion Template</t>
  </si>
  <si>
    <t>VoltDrive Motors - Debt Schedule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</si>
</sst>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&quot;-&quot;"/>
    <numFmt numFmtId="165" formatCode="0.0%"/>
    <numFmt numFmtId="166" formatCode="#,##0;\(#,##0\);\-"/>
    <numFmt numFmtId="167" formatCode="\$#,##0.00"/>
    <numFmt numFmtId="168" formatCode="#,##0.0;\(#,##0.0\);\-"/>
    <numFmt numFmtId="169" formatCode="0.000"/>
    <numFmt numFmtId="170" formatCode="_-[$$-409]* #,##0.00_ ;_-[$$-409]* \-#,##0.00\ ;_-[$$-409]* &quot;-&quot;??_ ;_-@_ "/>
  </numFmts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sz val="11"/>
      <color rgb="FF008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sz val="11"/>
      <color rgb="FF0000FF"/>
      <name val="Aptos Narrow"/>
      <family val="2"/>
    </font>
    <font>
      <i/>
      <sz val="9"/>
      <name val="Aptos Narrow"/>
      <family val="2"/>
    </font>
    <font>
      <sz val="11"/>
      <color rgb="FF008000"/>
      <name val="Aptos Narrow"/>
      <family val="2"/>
    </font>
    <font>
      <sz val="11"/>
      <color rgb="FF000000"/>
      <name val="Aptos Narrow"/>
      <family val="2"/>
    </font>
    <font>
      <b/>
      <sz val="9"/>
      <name val="Aptos Narrow"/>
      <family val="2"/>
    </font>
    <font>
      <b/>
      <sz val="11"/>
      <color rgb="FF000000"/>
      <name val="Aptos Narrow"/>
      <family val="2"/>
    </font>
    <font>
      <b/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b/>
      <sz val="14"/>
      <color theme="0"/>
      <name val="Aptos Narrow"/>
      <family val="2"/>
    </font>
    <font>
      <b/>
      <sz val="14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8" fillId="0" borderId="0" xfId="0" applyFont="1"/>
    <xf numFmtId="0" fontId="9" fillId="0" borderId="0" xfId="0" applyFont="1"/>
    <xf numFmtId="0" fontId="12" fillId="4" borderId="0" xfId="0" applyFont="1" applyFill="1"/>
    <xf numFmtId="0" fontId="15" fillId="0" borderId="0" xfId="0" applyFont="1"/>
    <xf numFmtId="165" fontId="16" fillId="0" borderId="0" xfId="0" applyNumberFormat="1" applyFont="1"/>
    <xf numFmtId="0" fontId="18" fillId="0" borderId="0" xfId="0" applyFont="1"/>
    <xf numFmtId="2" fontId="0" fillId="0" borderId="0" xfId="0" applyNumberFormat="1"/>
    <xf numFmtId="1" fontId="0" fillId="0" borderId="0" xfId="0" applyNumberFormat="1"/>
    <xf numFmtId="9" fontId="0" fillId="0" borderId="0" xfId="1" applyFont="1"/>
    <xf numFmtId="165" fontId="0" fillId="0" borderId="0" xfId="1" applyNumberFormat="1" applyFont="1"/>
    <xf numFmtId="10" fontId="0" fillId="0" borderId="0" xfId="0" applyNumberFormat="1"/>
    <xf numFmtId="0" fontId="21" fillId="0" borderId="0" xfId="2"/>
    <xf numFmtId="0" fontId="0" fillId="2" borderId="6" xfId="0" applyFill="1" applyBorder="1"/>
    <xf numFmtId="0" fontId="0" fillId="0" borderId="6" xfId="0" applyBorder="1"/>
    <xf numFmtId="10" fontId="0" fillId="0" borderId="6" xfId="0" applyNumberFormat="1" applyBorder="1"/>
    <xf numFmtId="1" fontId="0" fillId="0" borderId="6" xfId="0" applyNumberFormat="1" applyBorder="1"/>
    <xf numFmtId="2" fontId="0" fillId="0" borderId="6" xfId="0" applyNumberFormat="1" applyBorder="1"/>
    <xf numFmtId="0" fontId="0" fillId="0" borderId="8" xfId="0" applyBorder="1"/>
    <xf numFmtId="0" fontId="1" fillId="0" borderId="10" xfId="0" applyFont="1" applyBorder="1"/>
    <xf numFmtId="0" fontId="1" fillId="2" borderId="11" xfId="0" applyFont="1" applyFill="1" applyBorder="1"/>
    <xf numFmtId="0" fontId="0" fillId="0" borderId="11" xfId="0" applyBorder="1"/>
    <xf numFmtId="0" fontId="1" fillId="0" borderId="11" xfId="0" applyFont="1" applyBorder="1"/>
    <xf numFmtId="0" fontId="12" fillId="4" borderId="11" xfId="0" applyFont="1" applyFill="1" applyBorder="1"/>
    <xf numFmtId="0" fontId="13" fillId="0" borderId="11" xfId="0" applyFont="1" applyBorder="1"/>
    <xf numFmtId="0" fontId="13" fillId="0" borderId="12" xfId="0" applyFont="1" applyBorder="1"/>
    <xf numFmtId="0" fontId="0" fillId="2" borderId="11" xfId="0" applyFill="1" applyBorder="1"/>
    <xf numFmtId="0" fontId="0" fillId="0" borderId="12" xfId="0" applyBorder="1"/>
    <xf numFmtId="10" fontId="0" fillId="0" borderId="11" xfId="0" applyNumberFormat="1" applyBorder="1"/>
    <xf numFmtId="1" fontId="0" fillId="0" borderId="11" xfId="0" applyNumberFormat="1" applyBorder="1"/>
    <xf numFmtId="2" fontId="0" fillId="0" borderId="11" xfId="0" applyNumberFormat="1" applyBorder="1"/>
    <xf numFmtId="165" fontId="16" fillId="0" borderId="1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" xfId="0" applyFont="1" applyBorder="1"/>
    <xf numFmtId="165" fontId="0" fillId="0" borderId="11" xfId="1" applyNumberFormat="1" applyFont="1" applyBorder="1"/>
    <xf numFmtId="166" fontId="17" fillId="0" borderId="11" xfId="0" applyNumberFormat="1" applyFont="1" applyBorder="1"/>
    <xf numFmtId="10" fontId="17" fillId="0" borderId="12" xfId="0" applyNumberFormat="1" applyFont="1" applyBorder="1"/>
    <xf numFmtId="9" fontId="0" fillId="0" borderId="11" xfId="1" applyFont="1" applyBorder="1"/>
    <xf numFmtId="10" fontId="0" fillId="0" borderId="12" xfId="0" applyNumberFormat="1" applyBorder="1"/>
    <xf numFmtId="165" fontId="0" fillId="0" borderId="11" xfId="0" applyNumberFormat="1" applyBorder="1"/>
    <xf numFmtId="166" fontId="17" fillId="0" borderId="12" xfId="0" applyNumberFormat="1" applyFont="1" applyBorder="1"/>
    <xf numFmtId="2" fontId="0" fillId="0" borderId="11" xfId="1" applyNumberFormat="1" applyFont="1" applyBorder="1"/>
    <xf numFmtId="0" fontId="1" fillId="0" borderId="12" xfId="0" applyFont="1" applyBorder="1"/>
    <xf numFmtId="169" fontId="0" fillId="0" borderId="11" xfId="0" applyNumberFormat="1" applyBorder="1"/>
    <xf numFmtId="3" fontId="0" fillId="0" borderId="11" xfId="0" applyNumberFormat="1" applyBorder="1"/>
    <xf numFmtId="170" fontId="0" fillId="0" borderId="12" xfId="0" applyNumberFormat="1" applyBorder="1"/>
    <xf numFmtId="0" fontId="1" fillId="2" borderId="1" xfId="0" applyFont="1" applyFill="1" applyBorder="1"/>
    <xf numFmtId="0" fontId="0" fillId="2" borderId="1" xfId="0" applyFill="1" applyBorder="1"/>
    <xf numFmtId="0" fontId="0" fillId="8" borderId="0" xfId="0" applyFill="1"/>
    <xf numFmtId="0" fontId="0" fillId="2" borderId="4" xfId="0" applyFill="1" applyBorder="1"/>
    <xf numFmtId="10" fontId="0" fillId="3" borderId="6" xfId="0" applyNumberFormat="1" applyFill="1" applyBorder="1"/>
    <xf numFmtId="0" fontId="0" fillId="3" borderId="6" xfId="0" applyFill="1" applyBorder="1"/>
    <xf numFmtId="10" fontId="1" fillId="0" borderId="6" xfId="0" applyNumberFormat="1" applyFont="1" applyBorder="1"/>
    <xf numFmtId="3" fontId="0" fillId="3" borderId="6" xfId="0" applyNumberFormat="1" applyFill="1" applyBorder="1"/>
    <xf numFmtId="3" fontId="1" fillId="0" borderId="6" xfId="0" applyNumberFormat="1" applyFont="1" applyBorder="1"/>
    <xf numFmtId="165" fontId="0" fillId="0" borderId="6" xfId="0" applyNumberFormat="1" applyBorder="1"/>
    <xf numFmtId="0" fontId="1" fillId="2" borderId="10" xfId="0" applyFont="1" applyFill="1" applyBorder="1"/>
    <xf numFmtId="0" fontId="0" fillId="0" borderId="9" xfId="0" applyBorder="1"/>
    <xf numFmtId="0" fontId="12" fillId="4" borderId="10" xfId="0" applyFont="1" applyFill="1" applyBorder="1"/>
    <xf numFmtId="0" fontId="0" fillId="4" borderId="4" xfId="0" applyFill="1" applyBorder="1"/>
    <xf numFmtId="0" fontId="10" fillId="2" borderId="10" xfId="0" applyFont="1" applyFill="1" applyBorder="1"/>
    <xf numFmtId="10" fontId="10" fillId="2" borderId="16" xfId="0" applyNumberFormat="1" applyFont="1" applyFill="1" applyBorder="1"/>
    <xf numFmtId="164" fontId="1" fillId="0" borderId="0" xfId="0" applyNumberFormat="1" applyFont="1"/>
    <xf numFmtId="164" fontId="3" fillId="0" borderId="0" xfId="0" applyNumberFormat="1" applyFont="1"/>
    <xf numFmtId="164" fontId="0" fillId="0" borderId="9" xfId="0" applyNumberFormat="1" applyBorder="1"/>
    <xf numFmtId="0" fontId="0" fillId="0" borderId="10" xfId="0" applyBorder="1"/>
    <xf numFmtId="164" fontId="5" fillId="0" borderId="11" xfId="0" applyNumberFormat="1" applyFont="1" applyBorder="1"/>
    <xf numFmtId="0" fontId="6" fillId="0" borderId="11" xfId="0" applyFont="1" applyBorder="1" applyAlignment="1">
      <alignment horizontal="center"/>
    </xf>
    <xf numFmtId="164" fontId="1" fillId="0" borderId="11" xfId="0" applyNumberFormat="1" applyFont="1" applyBorder="1"/>
    <xf numFmtId="164" fontId="3" fillId="0" borderId="11" xfId="0" applyNumberFormat="1" applyFont="1" applyBorder="1"/>
    <xf numFmtId="164" fontId="7" fillId="0" borderId="11" xfId="0" applyNumberFormat="1" applyFont="1" applyBorder="1"/>
    <xf numFmtId="164" fontId="0" fillId="0" borderId="11" xfId="0" applyNumberFormat="1" applyBorder="1"/>
    <xf numFmtId="164" fontId="0" fillId="0" borderId="12" xfId="0" applyNumberFormat="1" applyBorder="1"/>
    <xf numFmtId="0" fontId="0" fillId="0" borderId="1" xfId="0" applyBorder="1"/>
    <xf numFmtId="164" fontId="0" fillId="0" borderId="6" xfId="0" applyNumberFormat="1" applyBorder="1"/>
    <xf numFmtId="164" fontId="1" fillId="0" borderId="6" xfId="0" applyNumberFormat="1" applyFont="1" applyBorder="1"/>
    <xf numFmtId="168" fontId="0" fillId="0" borderId="6" xfId="0" applyNumberFormat="1" applyBorder="1"/>
    <xf numFmtId="166" fontId="19" fillId="0" borderId="6" xfId="0" applyNumberFormat="1" applyFont="1" applyBorder="1"/>
    <xf numFmtId="166" fontId="17" fillId="0" borderId="9" xfId="0" applyNumberFormat="1" applyFont="1" applyBorder="1"/>
    <xf numFmtId="0" fontId="12" fillId="0" borderId="11" xfId="0" applyFont="1" applyBorder="1"/>
    <xf numFmtId="168" fontId="16" fillId="0" borderId="11" xfId="0" applyNumberFormat="1" applyFont="1" applyBorder="1"/>
    <xf numFmtId="166" fontId="19" fillId="0" borderId="11" xfId="0" applyNumberFormat="1" applyFont="1" applyBorder="1"/>
    <xf numFmtId="168" fontId="0" fillId="0" borderId="11" xfId="0" applyNumberFormat="1" applyBorder="1"/>
    <xf numFmtId="165" fontId="0" fillId="0" borderId="0" xfId="0" applyNumberFormat="1"/>
    <xf numFmtId="165" fontId="0" fillId="0" borderId="0" xfId="1" applyNumberFormat="1" applyFont="1" applyBorder="1"/>
    <xf numFmtId="165" fontId="0" fillId="0" borderId="6" xfId="1" applyNumberFormat="1" applyFont="1" applyBorder="1"/>
    <xf numFmtId="165" fontId="0" fillId="0" borderId="8" xfId="0" applyNumberFormat="1" applyBorder="1"/>
    <xf numFmtId="165" fontId="0" fillId="0" borderId="8" xfId="1" applyNumberFormat="1" applyFont="1" applyBorder="1"/>
    <xf numFmtId="165" fontId="0" fillId="0" borderId="9" xfId="1" applyNumberFormat="1" applyFont="1" applyBorder="1"/>
    <xf numFmtId="0" fontId="0" fillId="2" borderId="2" xfId="0" applyFill="1" applyBorder="1"/>
    <xf numFmtId="0" fontId="0" fillId="2" borderId="3" xfId="0" applyFill="1" applyBorder="1"/>
    <xf numFmtId="164" fontId="3" fillId="0" borderId="5" xfId="0" applyNumberFormat="1" applyFont="1" applyBorder="1"/>
    <xf numFmtId="165" fontId="0" fillId="0" borderId="5" xfId="0" applyNumberFormat="1" applyBorder="1"/>
    <xf numFmtId="164" fontId="1" fillId="0" borderId="5" xfId="0" applyNumberFormat="1" applyFont="1" applyBorder="1"/>
    <xf numFmtId="164" fontId="1" fillId="0" borderId="7" xfId="0" applyNumberFormat="1" applyFont="1" applyBorder="1"/>
    <xf numFmtId="164" fontId="1" fillId="0" borderId="8" xfId="0" applyNumberFormat="1" applyFont="1" applyBorder="1"/>
    <xf numFmtId="1" fontId="0" fillId="0" borderId="8" xfId="0" applyNumberFormat="1" applyBorder="1"/>
    <xf numFmtId="1" fontId="0" fillId="0" borderId="9" xfId="0" applyNumberFormat="1" applyBorder="1"/>
    <xf numFmtId="0" fontId="0" fillId="0" borderId="14" xfId="0" applyBorder="1"/>
    <xf numFmtId="0" fontId="12" fillId="0" borderId="15" xfId="0" applyFont="1" applyBorder="1"/>
    <xf numFmtId="0" fontId="12" fillId="0" borderId="13" xfId="0" applyFont="1" applyBorder="1"/>
    <xf numFmtId="0" fontId="12" fillId="0" borderId="1" xfId="0" applyFont="1" applyBorder="1"/>
    <xf numFmtId="0" fontId="12" fillId="4" borderId="6" xfId="0" applyFont="1" applyFill="1" applyBorder="1"/>
    <xf numFmtId="165" fontId="14" fillId="5" borderId="6" xfId="0" applyNumberFormat="1" applyFont="1" applyFill="1" applyBorder="1"/>
    <xf numFmtId="2" fontId="14" fillId="5" borderId="6" xfId="0" applyNumberFormat="1" applyFont="1" applyFill="1" applyBorder="1"/>
    <xf numFmtId="166" fontId="14" fillId="5" borderId="6" xfId="0" applyNumberFormat="1" applyFont="1" applyFill="1" applyBorder="1"/>
    <xf numFmtId="167" fontId="14" fillId="5" borderId="6" xfId="0" applyNumberFormat="1" applyFont="1" applyFill="1" applyBorder="1"/>
    <xf numFmtId="165" fontId="14" fillId="5" borderId="9" xfId="0" applyNumberFormat="1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165" fontId="14" fillId="5" borderId="0" xfId="0" applyNumberFormat="1" applyFont="1" applyFill="1"/>
    <xf numFmtId="168" fontId="14" fillId="5" borderId="0" xfId="0" applyNumberFormat="1" applyFont="1" applyFill="1"/>
    <xf numFmtId="168" fontId="14" fillId="5" borderId="6" xfId="0" applyNumberFormat="1" applyFont="1" applyFill="1" applyBorder="1"/>
    <xf numFmtId="165" fontId="14" fillId="5" borderId="8" xfId="0" applyNumberFormat="1" applyFont="1" applyFill="1" applyBorder="1"/>
    <xf numFmtId="168" fontId="14" fillId="5" borderId="8" xfId="0" applyNumberFormat="1" applyFont="1" applyFill="1" applyBorder="1"/>
    <xf numFmtId="168" fontId="14" fillId="5" borderId="9" xfId="0" applyNumberFormat="1" applyFont="1" applyFill="1" applyBorder="1"/>
    <xf numFmtId="166" fontId="14" fillId="5" borderId="9" xfId="0" applyNumberFormat="1" applyFont="1" applyFill="1" applyBorder="1"/>
    <xf numFmtId="165" fontId="17" fillId="0" borderId="11" xfId="0" applyNumberFormat="1" applyFont="1" applyBorder="1"/>
    <xf numFmtId="165" fontId="17" fillId="0" borderId="6" xfId="0" applyNumberFormat="1" applyFont="1" applyBorder="1"/>
    <xf numFmtId="3" fontId="17" fillId="5" borderId="6" xfId="0" applyNumberFormat="1" applyFont="1" applyFill="1" applyBorder="1"/>
    <xf numFmtId="170" fontId="17" fillId="5" borderId="9" xfId="0" applyNumberFormat="1" applyFont="1" applyFill="1" applyBorder="1"/>
    <xf numFmtId="0" fontId="24" fillId="7" borderId="0" xfId="0" applyFont="1" applyFill="1" applyAlignment="1">
      <alignment horizontal="center"/>
    </xf>
    <xf numFmtId="0" fontId="20" fillId="6" borderId="0" xfId="0" applyFont="1" applyFill="1" applyAlignment="1">
      <alignment horizontal="center" vertical="center"/>
    </xf>
    <xf numFmtId="0" fontId="22" fillId="7" borderId="0" xfId="2" applyFont="1" applyFill="1" applyAlignment="1">
      <alignment horizontal="center"/>
    </xf>
    <xf numFmtId="0" fontId="23" fillId="7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00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2AC73C-3D7A-4BF0-8823-6950B3A2E7E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00b2a6c-5a1b-4465-b464-4d2a9b6d962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k_QBqPZNkdEYOCHSCVSIDzXzKsG8dEGS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07-1CFA-4C84-8CA4-C07F8F27F86F}">
  <dimension ref="B3:T21"/>
  <sheetViews>
    <sheetView zoomScale="94" workbookViewId="0">
      <selection activeCell="G22" sqref="G22"/>
    </sheetView>
  </sheetViews>
  <sheetFormatPr defaultRowHeight="14.4" x14ac:dyDescent="0.3"/>
  <sheetData>
    <row r="3" spans="2:20" x14ac:dyDescent="0.3">
      <c r="B3" s="127" t="s">
        <v>193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</row>
    <row r="4" spans="2:20" x14ac:dyDescent="0.3"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</row>
    <row r="5" spans="2:20" x14ac:dyDescent="0.3"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</row>
    <row r="6" spans="2:20" x14ac:dyDescent="0.3"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</row>
    <row r="8" spans="2:20" ht="14.4" customHeight="1" x14ac:dyDescent="0.3">
      <c r="B8" s="127" t="s">
        <v>191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</row>
    <row r="9" spans="2:20" ht="14.4" customHeight="1" x14ac:dyDescent="0.3"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</row>
    <row r="10" spans="2:20" ht="14.4" customHeight="1" x14ac:dyDescent="0.3">
      <c r="B10" s="127" t="s">
        <v>192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</row>
    <row r="11" spans="2:20" ht="14.4" customHeight="1" x14ac:dyDescent="0.3"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</row>
    <row r="13" spans="2:20" x14ac:dyDescent="0.3">
      <c r="B13" s="127" t="s">
        <v>195</v>
      </c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</row>
    <row r="14" spans="2:20" x14ac:dyDescent="0.3"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</row>
    <row r="15" spans="2:20" x14ac:dyDescent="0.3">
      <c r="B15" s="128" t="s">
        <v>194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</row>
    <row r="21" spans="10:10" x14ac:dyDescent="0.3">
      <c r="J21" s="15"/>
    </row>
  </sheetData>
  <mergeCells count="5">
    <mergeCell ref="B3:T6"/>
    <mergeCell ref="B8:T9"/>
    <mergeCell ref="B10:T11"/>
    <mergeCell ref="B13:T14"/>
    <mergeCell ref="B15:T15"/>
  </mergeCells>
  <hyperlinks>
    <hyperlink ref="B15" r:id="rId1" xr:uid="{7ECAFD16-02CE-4F53-AB3E-2DA3CE8DDF0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047DD-A9BF-40CF-828F-C7087DE5D768}">
  <dimension ref="A1:G34"/>
  <sheetViews>
    <sheetView zoomScale="81" workbookViewId="0">
      <selection activeCell="B6" sqref="B6"/>
    </sheetView>
  </sheetViews>
  <sheetFormatPr defaultColWidth="8.5546875" defaultRowHeight="14.4" x14ac:dyDescent="0.3"/>
  <cols>
    <col min="1" max="1" width="82.5546875" bestFit="1" customWidth="1"/>
    <col min="2" max="7" width="12.44140625" customWidth="1"/>
    <col min="8" max="8" width="55" customWidth="1"/>
  </cols>
  <sheetData>
    <row r="1" spans="1:7" ht="18.600000000000001" thickBot="1" x14ac:dyDescent="0.4">
      <c r="A1" s="129" t="s">
        <v>196</v>
      </c>
      <c r="B1" s="129"/>
      <c r="C1" s="129"/>
      <c r="D1" s="129"/>
      <c r="E1" s="129"/>
      <c r="F1" s="129"/>
      <c r="G1" s="129"/>
    </row>
    <row r="2" spans="1:7" ht="15" customHeight="1" thickBot="1" x14ac:dyDescent="0.35">
      <c r="A2" s="103"/>
      <c r="B2" s="106" t="s">
        <v>155</v>
      </c>
      <c r="C2" s="104" t="s">
        <v>76</v>
      </c>
      <c r="D2" s="104" t="s">
        <v>77</v>
      </c>
      <c r="E2" s="104" t="s">
        <v>78</v>
      </c>
      <c r="F2" s="104" t="s">
        <v>79</v>
      </c>
      <c r="G2" s="105" t="s">
        <v>80</v>
      </c>
    </row>
    <row r="3" spans="1:7" ht="15" customHeight="1" x14ac:dyDescent="0.3">
      <c r="A3" s="63" t="s">
        <v>156</v>
      </c>
      <c r="B3" s="107"/>
      <c r="C3" s="6"/>
      <c r="D3" s="6"/>
      <c r="E3" s="6"/>
      <c r="F3" s="6"/>
      <c r="G3" s="6"/>
    </row>
    <row r="4" spans="1:7" ht="15" customHeight="1" x14ac:dyDescent="0.3">
      <c r="A4" s="27" t="s">
        <v>60</v>
      </c>
      <c r="B4" s="108">
        <v>4.2500000000000003E-2</v>
      </c>
    </row>
    <row r="5" spans="1:7" ht="15" customHeight="1" x14ac:dyDescent="0.3">
      <c r="A5" s="27" t="s">
        <v>61</v>
      </c>
      <c r="B5" s="109">
        <v>1.85</v>
      </c>
    </row>
    <row r="6" spans="1:7" ht="15" customHeight="1" x14ac:dyDescent="0.3">
      <c r="A6" s="27" t="s">
        <v>62</v>
      </c>
      <c r="B6" s="108">
        <v>5.5E-2</v>
      </c>
    </row>
    <row r="7" spans="1:7" ht="15" customHeight="1" x14ac:dyDescent="0.3">
      <c r="A7" s="27" t="s">
        <v>65</v>
      </c>
      <c r="B7" s="108">
        <v>7.4999999999999997E-2</v>
      </c>
    </row>
    <row r="8" spans="1:7" ht="15" customHeight="1" x14ac:dyDescent="0.3">
      <c r="A8" s="27" t="s">
        <v>66</v>
      </c>
      <c r="B8" s="108">
        <v>0.21</v>
      </c>
    </row>
    <row r="9" spans="1:7" ht="15" customHeight="1" x14ac:dyDescent="0.3">
      <c r="A9" s="27" t="s">
        <v>157</v>
      </c>
      <c r="B9" s="110">
        <v>400</v>
      </c>
    </row>
    <row r="10" spans="1:7" ht="15" customHeight="1" x14ac:dyDescent="0.3">
      <c r="A10" s="27" t="s">
        <v>158</v>
      </c>
      <c r="B10" s="111">
        <v>8.9</v>
      </c>
    </row>
    <row r="11" spans="1:7" ht="15" customHeight="1" thickBot="1" x14ac:dyDescent="0.35">
      <c r="A11" s="27" t="s">
        <v>93</v>
      </c>
      <c r="B11" s="108">
        <v>2.5000000000000001E-2</v>
      </c>
    </row>
    <row r="12" spans="1:7" ht="15" customHeight="1" x14ac:dyDescent="0.3">
      <c r="A12" s="63" t="s">
        <v>159</v>
      </c>
      <c r="B12" s="113"/>
      <c r="C12" s="113"/>
      <c r="D12" s="113"/>
      <c r="E12" s="113"/>
      <c r="F12" s="113"/>
      <c r="G12" s="114"/>
    </row>
    <row r="13" spans="1:7" ht="15" customHeight="1" x14ac:dyDescent="0.3">
      <c r="A13" s="27" t="s">
        <v>160</v>
      </c>
      <c r="C13" s="115">
        <v>0.12</v>
      </c>
      <c r="D13" s="115">
        <v>0.25</v>
      </c>
      <c r="E13" s="115">
        <v>0.35</v>
      </c>
      <c r="F13" s="115">
        <v>0.28000000000000003</v>
      </c>
      <c r="G13" s="108">
        <v>0.18</v>
      </c>
    </row>
    <row r="14" spans="1:7" ht="15" customHeight="1" x14ac:dyDescent="0.3">
      <c r="A14" s="27" t="s">
        <v>161</v>
      </c>
      <c r="D14" s="116">
        <v>68</v>
      </c>
      <c r="G14" s="117">
        <v>55</v>
      </c>
    </row>
    <row r="15" spans="1:7" ht="15" customHeight="1" thickBot="1" x14ac:dyDescent="0.35">
      <c r="A15" s="28" t="s">
        <v>162</v>
      </c>
      <c r="B15" s="118">
        <v>0.02</v>
      </c>
      <c r="C15" s="21"/>
      <c r="D15" s="21"/>
      <c r="E15" s="21"/>
      <c r="F15" s="21"/>
      <c r="G15" s="62"/>
    </row>
    <row r="16" spans="1:7" ht="15" customHeight="1" x14ac:dyDescent="0.3">
      <c r="A16" s="63" t="s">
        <v>163</v>
      </c>
      <c r="B16" s="113"/>
      <c r="C16" s="113"/>
      <c r="D16" s="113"/>
      <c r="E16" s="113"/>
      <c r="F16" s="113"/>
      <c r="G16" s="114"/>
    </row>
    <row r="17" spans="1:7" ht="15" customHeight="1" x14ac:dyDescent="0.3">
      <c r="A17" s="27" t="s">
        <v>113</v>
      </c>
      <c r="B17" s="116">
        <v>21</v>
      </c>
      <c r="C17" s="116">
        <v>18.5</v>
      </c>
      <c r="D17" s="116">
        <v>15.8</v>
      </c>
      <c r="E17" s="116">
        <v>13.2</v>
      </c>
      <c r="F17" s="116">
        <v>11.5</v>
      </c>
      <c r="G17" s="117">
        <v>10.199999999999999</v>
      </c>
    </row>
    <row r="18" spans="1:7" ht="15" customHeight="1" thickBot="1" x14ac:dyDescent="0.35">
      <c r="A18" s="28" t="s">
        <v>114</v>
      </c>
      <c r="B18" s="119">
        <v>45</v>
      </c>
      <c r="C18" s="119">
        <v>42</v>
      </c>
      <c r="D18" s="119">
        <v>38.5</v>
      </c>
      <c r="E18" s="119">
        <v>34</v>
      </c>
      <c r="F18" s="119">
        <v>30.5</v>
      </c>
      <c r="G18" s="120">
        <v>28</v>
      </c>
    </row>
    <row r="19" spans="1:7" ht="15" customHeight="1" x14ac:dyDescent="0.3">
      <c r="A19" s="63" t="s">
        <v>164</v>
      </c>
      <c r="B19" s="113"/>
      <c r="C19" s="113"/>
      <c r="D19" s="113"/>
      <c r="E19" s="113"/>
      <c r="F19" s="113"/>
      <c r="G19" s="114"/>
    </row>
    <row r="20" spans="1:7" ht="15" customHeight="1" x14ac:dyDescent="0.3">
      <c r="A20" s="27" t="s">
        <v>117</v>
      </c>
      <c r="C20" s="115">
        <v>0.14000000000000001</v>
      </c>
      <c r="D20" s="115">
        <v>0.115</v>
      </c>
      <c r="E20" s="115">
        <v>0.09</v>
      </c>
      <c r="F20" s="115">
        <v>7.4999999999999997E-2</v>
      </c>
      <c r="G20" s="108">
        <v>6.5000000000000002E-2</v>
      </c>
    </row>
    <row r="21" spans="1:7" ht="15" customHeight="1" thickBot="1" x14ac:dyDescent="0.35">
      <c r="A21" s="28" t="s">
        <v>119</v>
      </c>
      <c r="B21" s="21"/>
      <c r="C21" s="118">
        <v>0.15</v>
      </c>
      <c r="D21" s="118">
        <v>0.125</v>
      </c>
      <c r="E21" s="118">
        <v>0.105</v>
      </c>
      <c r="F21" s="118">
        <v>0.09</v>
      </c>
      <c r="G21" s="112">
        <v>0.08</v>
      </c>
    </row>
    <row r="22" spans="1:7" ht="15" customHeight="1" x14ac:dyDescent="0.3">
      <c r="A22" s="63" t="s">
        <v>165</v>
      </c>
      <c r="B22" s="113"/>
      <c r="C22" s="113"/>
      <c r="D22" s="113"/>
      <c r="E22" s="113"/>
      <c r="F22" s="113"/>
      <c r="G22" s="114"/>
    </row>
    <row r="23" spans="1:7" ht="15" customHeight="1" x14ac:dyDescent="0.3">
      <c r="A23" s="27" t="s">
        <v>166</v>
      </c>
      <c r="B23" s="116">
        <v>100</v>
      </c>
      <c r="G23" s="17"/>
    </row>
    <row r="24" spans="1:7" ht="15" customHeight="1" x14ac:dyDescent="0.3">
      <c r="A24" s="27" t="s">
        <v>167</v>
      </c>
      <c r="C24" s="115">
        <v>0.65</v>
      </c>
      <c r="G24" s="108">
        <v>0.9</v>
      </c>
    </row>
    <row r="25" spans="1:7" ht="15" customHeight="1" x14ac:dyDescent="0.3">
      <c r="A25" s="27" t="s">
        <v>132</v>
      </c>
      <c r="B25" s="116">
        <v>12</v>
      </c>
      <c r="G25" s="17"/>
    </row>
    <row r="26" spans="1:7" ht="15" customHeight="1" thickBot="1" x14ac:dyDescent="0.35">
      <c r="A26" s="28" t="s">
        <v>168</v>
      </c>
      <c r="B26" s="21"/>
      <c r="C26" s="118">
        <v>3.5000000000000003E-2</v>
      </c>
      <c r="D26" s="21"/>
      <c r="E26" s="21"/>
      <c r="F26" s="21"/>
      <c r="G26" s="112">
        <v>2.5000000000000001E-2</v>
      </c>
    </row>
    <row r="27" spans="1:7" ht="15" customHeight="1" x14ac:dyDescent="0.3">
      <c r="A27" s="63" t="s">
        <v>169</v>
      </c>
      <c r="B27" s="114"/>
      <c r="C27" s="6"/>
      <c r="D27" s="6"/>
      <c r="E27" s="6"/>
      <c r="F27" s="6"/>
      <c r="G27" s="6"/>
    </row>
    <row r="28" spans="1:7" ht="15" customHeight="1" x14ac:dyDescent="0.3">
      <c r="A28" s="27" t="s">
        <v>170</v>
      </c>
      <c r="B28" s="110">
        <v>0</v>
      </c>
    </row>
    <row r="29" spans="1:7" ht="15" customHeight="1" x14ac:dyDescent="0.3">
      <c r="A29" s="27" t="s">
        <v>171</v>
      </c>
      <c r="B29" s="110">
        <v>0</v>
      </c>
    </row>
    <row r="30" spans="1:7" ht="15" customHeight="1" x14ac:dyDescent="0.3">
      <c r="A30" s="27" t="s">
        <v>172</v>
      </c>
      <c r="B30" s="108">
        <v>0.5</v>
      </c>
    </row>
    <row r="31" spans="1:7" ht="15" customHeight="1" x14ac:dyDescent="0.3">
      <c r="A31" s="27" t="s">
        <v>173</v>
      </c>
      <c r="B31" s="108">
        <v>0.05</v>
      </c>
    </row>
    <row r="32" spans="1:7" ht="15" customHeight="1" thickBot="1" x14ac:dyDescent="0.35">
      <c r="A32" s="28" t="s">
        <v>174</v>
      </c>
      <c r="B32" s="121">
        <v>400</v>
      </c>
    </row>
    <row r="34" spans="1:1" ht="15" customHeight="1" x14ac:dyDescent="0.3">
      <c r="A34" s="7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F1B9-7B60-485B-AEFA-584028888885}">
  <dimension ref="A1:H23"/>
  <sheetViews>
    <sheetView tabSelected="1" workbookViewId="0">
      <selection sqref="A1:H1"/>
    </sheetView>
  </sheetViews>
  <sheetFormatPr defaultRowHeight="14.4" x14ac:dyDescent="0.3"/>
  <cols>
    <col min="1" max="1" width="32.77734375" customWidth="1"/>
    <col min="2" max="2" width="9.44140625" customWidth="1"/>
    <col min="3" max="3" width="10.21875" customWidth="1"/>
    <col min="4" max="4" width="9.21875" customWidth="1"/>
  </cols>
  <sheetData>
    <row r="1" spans="1:8" ht="18" x14ac:dyDescent="0.35">
      <c r="A1" s="126" t="s">
        <v>197</v>
      </c>
      <c r="B1" s="126"/>
      <c r="C1" s="126"/>
      <c r="D1" s="126"/>
      <c r="E1" s="126"/>
      <c r="F1" s="126"/>
      <c r="G1" s="126"/>
      <c r="H1" s="126"/>
    </row>
    <row r="2" spans="1:8" ht="15" thickBot="1" x14ac:dyDescent="0.35">
      <c r="A2" s="1" t="s">
        <v>0</v>
      </c>
    </row>
    <row r="3" spans="1:8" ht="15" thickBot="1" x14ac:dyDescent="0.35">
      <c r="A3" s="22"/>
      <c r="B3" s="37" t="s">
        <v>1</v>
      </c>
      <c r="C3" s="37" t="s">
        <v>2</v>
      </c>
      <c r="D3" s="37" t="s">
        <v>76</v>
      </c>
      <c r="E3" s="37" t="s">
        <v>77</v>
      </c>
      <c r="F3" s="37" t="s">
        <v>78</v>
      </c>
      <c r="G3" s="37" t="s">
        <v>79</v>
      </c>
      <c r="H3" s="36" t="s">
        <v>80</v>
      </c>
    </row>
    <row r="4" spans="1:8" x14ac:dyDescent="0.3">
      <c r="A4" s="23"/>
      <c r="B4" s="94"/>
      <c r="C4" s="95"/>
      <c r="D4" s="95"/>
      <c r="E4" s="95"/>
      <c r="F4" s="95"/>
      <c r="G4" s="95"/>
      <c r="H4" s="54"/>
    </row>
    <row r="5" spans="1:8" x14ac:dyDescent="0.3">
      <c r="A5" s="24" t="s">
        <v>3</v>
      </c>
      <c r="B5" s="96">
        <v>3000</v>
      </c>
      <c r="C5" s="68">
        <v>4500</v>
      </c>
      <c r="D5" s="11">
        <f>'Revenue &amp; Cost Drivers'!C11</f>
        <v>4835.6756756756758</v>
      </c>
      <c r="E5" s="11">
        <f>'Revenue &amp; Cost Drivers'!D11</f>
        <v>5789.1891891891892</v>
      </c>
      <c r="F5" s="11">
        <f>'Revenue &amp; Cost Drivers'!E11</f>
        <v>7317.364864864865</v>
      </c>
      <c r="G5" s="11">
        <f>'Revenue &amp; Cost Drivers'!F11</f>
        <v>8728.7351351351354</v>
      </c>
      <c r="H5" s="19">
        <f>'Revenue &amp; Cost Drivers'!G11</f>
        <v>9547.6670270270261</v>
      </c>
    </row>
    <row r="6" spans="1:8" x14ac:dyDescent="0.3">
      <c r="A6" s="24" t="s">
        <v>4</v>
      </c>
      <c r="B6" s="97"/>
      <c r="C6" s="88">
        <f>(C5-B5)/B5</f>
        <v>0.5</v>
      </c>
      <c r="D6" s="88">
        <f>(D5-C5)/C5</f>
        <v>7.4594594594594638E-2</v>
      </c>
      <c r="E6" s="88">
        <f t="shared" ref="E6:H6" si="0">(E5-D5)/D5</f>
        <v>0.19718309859154926</v>
      </c>
      <c r="F6" s="88">
        <f t="shared" si="0"/>
        <v>0.26397058823529412</v>
      </c>
      <c r="G6" s="88">
        <f t="shared" si="0"/>
        <v>0.19287958115183246</v>
      </c>
      <c r="H6" s="60">
        <f t="shared" si="0"/>
        <v>9.3820224719100981E-2</v>
      </c>
    </row>
    <row r="7" spans="1:8" x14ac:dyDescent="0.3">
      <c r="A7" s="24" t="s">
        <v>5</v>
      </c>
      <c r="B7" s="96">
        <v>2400</v>
      </c>
      <c r="C7" s="68">
        <v>3375</v>
      </c>
      <c r="D7" s="11">
        <f>'Revenue &amp; Cost Drivers'!C16</f>
        <v>4039.7456279809221</v>
      </c>
      <c r="E7" s="11">
        <f>'Revenue &amp; Cost Drivers'!D16</f>
        <v>4532.1939586645467</v>
      </c>
      <c r="F7" s="11">
        <f>'Revenue &amp; Cost Drivers'!E16</f>
        <v>5318.4419713831485</v>
      </c>
      <c r="G7" s="11">
        <f>'Revenue &amp; Cost Drivers'!F16</f>
        <v>6057.6152623211447</v>
      </c>
      <c r="H7" s="19">
        <f>'Revenue &amp; Cost Drivers'!G16</f>
        <v>6501.2634658187599</v>
      </c>
    </row>
    <row r="8" spans="1:8" x14ac:dyDescent="0.3">
      <c r="A8" s="25" t="s">
        <v>6</v>
      </c>
      <c r="B8" s="98">
        <f>B5-B7</f>
        <v>600</v>
      </c>
      <c r="C8" s="67">
        <f>C5-C7</f>
        <v>1125</v>
      </c>
      <c r="D8" s="11">
        <f>D5-D7</f>
        <v>795.93004769475374</v>
      </c>
      <c r="E8" s="11">
        <f t="shared" ref="E8:H8" si="1">E5-E7</f>
        <v>1256.9952305246425</v>
      </c>
      <c r="F8" s="11">
        <f t="shared" si="1"/>
        <v>1998.9228934817165</v>
      </c>
      <c r="G8" s="11">
        <f t="shared" si="1"/>
        <v>2671.1198728139907</v>
      </c>
      <c r="H8" s="19">
        <f t="shared" si="1"/>
        <v>3046.4035612082662</v>
      </c>
    </row>
    <row r="9" spans="1:8" x14ac:dyDescent="0.3">
      <c r="A9" s="24" t="s">
        <v>7</v>
      </c>
      <c r="B9" s="96">
        <v>300</v>
      </c>
      <c r="C9" s="68">
        <v>360</v>
      </c>
      <c r="D9" s="10">
        <f>'Revenue &amp; Cost Drivers'!C19</f>
        <v>676.99459459459467</v>
      </c>
      <c r="E9" s="10">
        <f>'Revenue &amp; Cost Drivers'!D19</f>
        <v>665.75675675675677</v>
      </c>
      <c r="F9" s="10">
        <f>'Revenue &amp; Cost Drivers'!E19</f>
        <v>658.56283783783783</v>
      </c>
      <c r="G9" s="10">
        <f>'Revenue &amp; Cost Drivers'!F19</f>
        <v>654.65513513513508</v>
      </c>
      <c r="H9" s="20">
        <f>'Revenue &amp; Cost Drivers'!G19</f>
        <v>620.59835675675674</v>
      </c>
    </row>
    <row r="10" spans="1:8" x14ac:dyDescent="0.3">
      <c r="A10" s="24" t="s">
        <v>8</v>
      </c>
      <c r="B10" s="96">
        <v>360</v>
      </c>
      <c r="C10" s="68">
        <v>450</v>
      </c>
      <c r="D10" s="10">
        <f>'Revenue &amp; Cost Drivers'!C21</f>
        <v>725.35135135135135</v>
      </c>
      <c r="E10" s="10">
        <f>'Revenue &amp; Cost Drivers'!D21</f>
        <v>723.64864864864865</v>
      </c>
      <c r="F10" s="10">
        <f>'Revenue &amp; Cost Drivers'!E21</f>
        <v>768.32331081081077</v>
      </c>
      <c r="G10" s="10">
        <f>'Revenue &amp; Cost Drivers'!F21</f>
        <v>785.58616216216217</v>
      </c>
      <c r="H10" s="20">
        <f>'Revenue &amp; Cost Drivers'!G21</f>
        <v>763.81336216216209</v>
      </c>
    </row>
    <row r="11" spans="1:8" x14ac:dyDescent="0.3">
      <c r="A11" s="25" t="s">
        <v>9</v>
      </c>
      <c r="B11" s="98">
        <f>B8-B9-B10</f>
        <v>-60</v>
      </c>
      <c r="C11" s="67">
        <f>C8-C9-C10</f>
        <v>315</v>
      </c>
      <c r="D11" s="11">
        <f>D8-D9-D10</f>
        <v>-606.41589825119229</v>
      </c>
      <c r="E11" s="11">
        <f t="shared" ref="E11:H11" si="2">E8-E9-E10</f>
        <v>-132.41017488076295</v>
      </c>
      <c r="F11" s="11">
        <f t="shared" si="2"/>
        <v>572.03674483306793</v>
      </c>
      <c r="G11" s="11">
        <f t="shared" si="2"/>
        <v>1230.8785755166937</v>
      </c>
      <c r="H11" s="19">
        <f t="shared" si="2"/>
        <v>1661.9918422893472</v>
      </c>
    </row>
    <row r="12" spans="1:8" x14ac:dyDescent="0.3">
      <c r="A12" s="24" t="s">
        <v>10</v>
      </c>
      <c r="B12" s="96">
        <v>150</v>
      </c>
      <c r="C12" s="68">
        <v>200</v>
      </c>
      <c r="D12" s="11">
        <f>'Capacity Expansion'!C23</f>
        <v>227.42857142857144</v>
      </c>
      <c r="E12" s="11">
        <f>'Capacity Expansion'!D23</f>
        <v>225.48922025359002</v>
      </c>
      <c r="F12" s="11">
        <f>'Capacity Expansion'!E23</f>
        <v>235.8262560796681</v>
      </c>
      <c r="G12" s="11">
        <f>'Capacity Expansion'!F23</f>
        <v>260.40983254405563</v>
      </c>
      <c r="H12" s="19">
        <f>'Capacity Expansion'!G23</f>
        <v>283.38045114743176</v>
      </c>
    </row>
    <row r="13" spans="1:8" x14ac:dyDescent="0.3">
      <c r="A13" s="25" t="s">
        <v>11</v>
      </c>
      <c r="B13" s="98">
        <f>B11-B12</f>
        <v>-210</v>
      </c>
      <c r="C13" s="67">
        <f>C11-C12</f>
        <v>115</v>
      </c>
      <c r="D13" s="11">
        <f>D11-D12</f>
        <v>-833.84446967976373</v>
      </c>
      <c r="E13" s="11">
        <f t="shared" ref="E13:H13" si="3">E11-E12</f>
        <v>-357.89939513435297</v>
      </c>
      <c r="F13" s="11">
        <f t="shared" si="3"/>
        <v>336.21048875339983</v>
      </c>
      <c r="G13" s="11">
        <f t="shared" si="3"/>
        <v>970.46874297263798</v>
      </c>
      <c r="H13" s="19">
        <f t="shared" si="3"/>
        <v>1378.6113911419154</v>
      </c>
    </row>
    <row r="14" spans="1:8" x14ac:dyDescent="0.3">
      <c r="A14" s="24" t="s">
        <v>12</v>
      </c>
      <c r="B14" s="96">
        <v>75</v>
      </c>
      <c r="C14" s="68">
        <v>85</v>
      </c>
      <c r="D14" s="11">
        <f>'Debt Schedule'!C20</f>
        <v>155.25</v>
      </c>
      <c r="E14" s="11">
        <f>'Debt Schedule'!D20</f>
        <v>155.77404702213525</v>
      </c>
      <c r="F14" s="11">
        <f>'Debt Schedule'!E20</f>
        <v>162.24145025118591</v>
      </c>
      <c r="G14" s="11">
        <f>'Debt Schedule'!F20</f>
        <v>175.78509138267989</v>
      </c>
      <c r="H14" s="19">
        <f>'Debt Schedule'!G20</f>
        <v>188.77955687779721</v>
      </c>
    </row>
    <row r="15" spans="1:8" x14ac:dyDescent="0.3">
      <c r="A15" s="25" t="s">
        <v>13</v>
      </c>
      <c r="B15" s="98">
        <f>B13-B14</f>
        <v>-285</v>
      </c>
      <c r="C15" s="67">
        <f>C13-C14</f>
        <v>30</v>
      </c>
      <c r="D15" s="11">
        <f>D13-D14</f>
        <v>-989.09446967976373</v>
      </c>
      <c r="E15" s="11">
        <f t="shared" ref="E15:H15" si="4">E13-E14</f>
        <v>-513.67344215648825</v>
      </c>
      <c r="F15" s="11">
        <f t="shared" si="4"/>
        <v>173.96903850221392</v>
      </c>
      <c r="G15" s="11">
        <f t="shared" si="4"/>
        <v>794.68365158995812</v>
      </c>
      <c r="H15" s="19">
        <f t="shared" si="4"/>
        <v>1189.8318342641182</v>
      </c>
    </row>
    <row r="16" spans="1:8" x14ac:dyDescent="0.3">
      <c r="A16" s="24" t="s">
        <v>14</v>
      </c>
      <c r="B16" s="96">
        <v>0</v>
      </c>
      <c r="C16" s="68">
        <v>7.5</v>
      </c>
      <c r="D16">
        <f>IF(D15&gt;0,D15*WACC!$B$11,0)</f>
        <v>0</v>
      </c>
      <c r="E16">
        <f>IF(E15&gt;0,E15*WACC!$B$11,0)</f>
        <v>0</v>
      </c>
      <c r="F16" s="11">
        <f>IF(F15&gt;0,F15*WACC!$B$11,0)</f>
        <v>36.53349808546492</v>
      </c>
      <c r="G16" s="11">
        <f>IF(G15&gt;0,G15*WACC!$B$11,0)</f>
        <v>166.88356683389119</v>
      </c>
      <c r="H16" s="19">
        <f>IF(H15&gt;0,H15*WACC!$B$11,0)</f>
        <v>249.86468519546483</v>
      </c>
    </row>
    <row r="17" spans="1:8" ht="15" thickBot="1" x14ac:dyDescent="0.35">
      <c r="A17" s="25" t="s">
        <v>15</v>
      </c>
      <c r="B17" s="99">
        <f>B15-B16</f>
        <v>-285</v>
      </c>
      <c r="C17" s="100">
        <f>C15-C16</f>
        <v>22.5</v>
      </c>
      <c r="D17" s="101">
        <f>D15-D16</f>
        <v>-989.09446967976373</v>
      </c>
      <c r="E17" s="101">
        <f t="shared" ref="E17:H17" si="5">E15-E16</f>
        <v>-513.67344215648825</v>
      </c>
      <c r="F17" s="101">
        <f t="shared" si="5"/>
        <v>137.43554041674901</v>
      </c>
      <c r="G17" s="101">
        <f t="shared" si="5"/>
        <v>627.80008475606689</v>
      </c>
      <c r="H17" s="102">
        <f t="shared" si="5"/>
        <v>939.96714906865338</v>
      </c>
    </row>
    <row r="18" spans="1:8" x14ac:dyDescent="0.3">
      <c r="A18" s="24"/>
      <c r="H18" s="17"/>
    </row>
    <row r="19" spans="1:8" x14ac:dyDescent="0.3">
      <c r="A19" s="25" t="s">
        <v>16</v>
      </c>
      <c r="B19" s="88">
        <f>B8/B5</f>
        <v>0.2</v>
      </c>
      <c r="C19" s="88">
        <f>C8/C5</f>
        <v>0.25</v>
      </c>
      <c r="D19" s="89">
        <f>D8/D5</f>
        <v>0.16459541563104119</v>
      </c>
      <c r="E19" s="89">
        <f t="shared" ref="E19:H19" si="6">E8/E5</f>
        <v>0.21712802768166092</v>
      </c>
      <c r="F19" s="89">
        <f t="shared" si="6"/>
        <v>0.27317523868186011</v>
      </c>
      <c r="G19" s="89">
        <f t="shared" si="6"/>
        <v>0.30601454064771977</v>
      </c>
      <c r="H19" s="90">
        <f t="shared" si="6"/>
        <v>0.31907308377896609</v>
      </c>
    </row>
    <row r="20" spans="1:8" x14ac:dyDescent="0.3">
      <c r="A20" s="24" t="s">
        <v>17</v>
      </c>
      <c r="B20" s="88">
        <f>B11/B5</f>
        <v>-0.02</v>
      </c>
      <c r="C20" s="88">
        <f>C11/C5</f>
        <v>7.0000000000000007E-2</v>
      </c>
      <c r="D20" s="89">
        <f>D11/D5</f>
        <v>-0.12540458436895882</v>
      </c>
      <c r="E20" s="89">
        <f t="shared" ref="E20:H20" si="7">E11/E5</f>
        <v>-2.2871972318339071E-2</v>
      </c>
      <c r="F20" s="89">
        <f t="shared" si="7"/>
        <v>7.8175238681860118E-2</v>
      </c>
      <c r="G20" s="89">
        <f t="shared" si="7"/>
        <v>0.14101454064771982</v>
      </c>
      <c r="H20" s="90">
        <f t="shared" si="7"/>
        <v>0.17407308377896605</v>
      </c>
    </row>
    <row r="21" spans="1:8" ht="15" thickBot="1" x14ac:dyDescent="0.35">
      <c r="A21" s="47" t="s">
        <v>18</v>
      </c>
      <c r="B21" s="91">
        <f>B17/B5</f>
        <v>-9.5000000000000001E-2</v>
      </c>
      <c r="C21" s="91">
        <f>C17/C5</f>
        <v>5.0000000000000001E-3</v>
      </c>
      <c r="D21" s="92">
        <f>D17/D5</f>
        <v>-0.20454110987117849</v>
      </c>
      <c r="E21" s="92">
        <f t="shared" ref="E21:H21" si="8">E17/E5</f>
        <v>-8.8729772921522246E-2</v>
      </c>
      <c r="F21" s="92">
        <f t="shared" si="8"/>
        <v>1.878210844407403E-2</v>
      </c>
      <c r="G21" s="92">
        <f t="shared" si="8"/>
        <v>7.1923374353407676E-2</v>
      </c>
      <c r="H21" s="93">
        <f t="shared" si="8"/>
        <v>9.8449929852794882E-2</v>
      </c>
    </row>
    <row r="23" spans="1:8" x14ac:dyDescent="0.3">
      <c r="A23" s="2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B806A-A6A2-4F07-A71A-6835C68CF136}">
  <dimension ref="A1:H28"/>
  <sheetViews>
    <sheetView zoomScale="92" workbookViewId="0">
      <selection activeCell="B3" sqref="B3:H3"/>
    </sheetView>
  </sheetViews>
  <sheetFormatPr defaultRowHeight="14.4" x14ac:dyDescent="0.3"/>
  <cols>
    <col min="1" max="1" width="42.33203125" bestFit="1" customWidth="1"/>
    <col min="2" max="2" width="12.21875" customWidth="1"/>
    <col min="3" max="3" width="9.5546875" customWidth="1"/>
    <col min="4" max="4" width="9.109375" customWidth="1"/>
  </cols>
  <sheetData>
    <row r="1" spans="1:8" ht="18" x14ac:dyDescent="0.35">
      <c r="A1" s="126" t="s">
        <v>197</v>
      </c>
      <c r="B1" s="126"/>
      <c r="C1" s="126"/>
      <c r="D1" s="126"/>
      <c r="E1" s="126"/>
      <c r="F1" s="126"/>
      <c r="G1" s="126"/>
      <c r="H1" s="126"/>
    </row>
    <row r="2" spans="1:8" ht="15" thickBot="1" x14ac:dyDescent="0.35">
      <c r="A2" s="1" t="s">
        <v>19</v>
      </c>
    </row>
    <row r="3" spans="1:8" ht="15" thickBot="1" x14ac:dyDescent="0.35">
      <c r="A3" s="70"/>
      <c r="B3" s="35" t="s">
        <v>1</v>
      </c>
      <c r="C3" s="35" t="s">
        <v>2</v>
      </c>
      <c r="D3" s="35" t="s">
        <v>76</v>
      </c>
      <c r="E3" s="35" t="s">
        <v>77</v>
      </c>
      <c r="F3" s="35" t="s">
        <v>78</v>
      </c>
      <c r="G3" s="35" t="s">
        <v>79</v>
      </c>
      <c r="H3" s="36" t="s">
        <v>80</v>
      </c>
    </row>
    <row r="4" spans="1:8" x14ac:dyDescent="0.3">
      <c r="A4" s="23" t="s">
        <v>20</v>
      </c>
      <c r="B4" s="29"/>
      <c r="C4" s="29"/>
      <c r="D4" s="29"/>
      <c r="E4" s="29"/>
      <c r="F4" s="29"/>
      <c r="G4" s="29"/>
      <c r="H4" s="16"/>
    </row>
    <row r="5" spans="1:8" x14ac:dyDescent="0.3">
      <c r="A5" s="24" t="s">
        <v>21</v>
      </c>
      <c r="B5" s="74">
        <v>375</v>
      </c>
      <c r="C5" s="74">
        <v>482.5</v>
      </c>
      <c r="D5" s="32">
        <f>'Cash Flow Statement'!D24</f>
        <v>400</v>
      </c>
      <c r="E5" s="32">
        <f>'Cash Flow Statement'!E24</f>
        <v>400</v>
      </c>
      <c r="F5" s="32">
        <f>'Cash Flow Statement'!F24</f>
        <v>400</v>
      </c>
      <c r="G5" s="32">
        <f>'Cash Flow Statement'!G24</f>
        <v>728.866296857105</v>
      </c>
      <c r="H5" s="19">
        <f>'Cash Flow Statement'!H24</f>
        <v>1515.5568711708891</v>
      </c>
    </row>
    <row r="6" spans="1:8" x14ac:dyDescent="0.3">
      <c r="A6" s="24" t="s">
        <v>22</v>
      </c>
      <c r="B6" s="74">
        <v>300</v>
      </c>
      <c r="C6" s="74">
        <v>450</v>
      </c>
      <c r="D6" s="32">
        <f>'Income Statement'!D5*('Balance Sheet'!D24/365)</f>
        <v>483.56756756756761</v>
      </c>
      <c r="E6" s="32">
        <f>'Income Statement'!E5*('Balance Sheet'!E24/365)</f>
        <v>578.91891891891896</v>
      </c>
      <c r="F6" s="32">
        <f>'Income Statement'!F5*('Balance Sheet'!F24/365)</f>
        <v>731.73648648648657</v>
      </c>
      <c r="G6" s="32">
        <f>'Income Statement'!G5*('Balance Sheet'!G24/365)</f>
        <v>872.87351351351356</v>
      </c>
      <c r="H6" s="19">
        <f>'Income Statement'!H5*('Balance Sheet'!H24/365)</f>
        <v>954.76670270270267</v>
      </c>
    </row>
    <row r="7" spans="1:8" x14ac:dyDescent="0.3">
      <c r="A7" s="24" t="s">
        <v>23</v>
      </c>
      <c r="B7" s="74">
        <v>450</v>
      </c>
      <c r="C7" s="74">
        <v>675</v>
      </c>
      <c r="D7" s="32">
        <f>'Income Statement'!D7*('Balance Sheet'!D25/365)</f>
        <v>807.94912559618444</v>
      </c>
      <c r="E7" s="32">
        <f>'Income Statement'!E7*('Balance Sheet'!E25/365)</f>
        <v>906.43879173290941</v>
      </c>
      <c r="F7" s="32">
        <f>'Income Statement'!F7*('Balance Sheet'!F25/365)</f>
        <v>1063.6883942766297</v>
      </c>
      <c r="G7" s="32">
        <f>'Income Statement'!G7*('Balance Sheet'!G25/365)</f>
        <v>1211.5230524642291</v>
      </c>
      <c r="H7" s="19">
        <f>'Income Statement'!H7*('Balance Sheet'!H25/365)</f>
        <v>1300.2526931637522</v>
      </c>
    </row>
    <row r="8" spans="1:8" x14ac:dyDescent="0.3">
      <c r="A8" s="25" t="s">
        <v>24</v>
      </c>
      <c r="B8" s="73">
        <f>SUM(B5:B7)</f>
        <v>1125</v>
      </c>
      <c r="C8" s="73">
        <f>SUM(C5:C7)</f>
        <v>1607.5</v>
      </c>
      <c r="D8" s="32">
        <f>SUM(D5:D7)</f>
        <v>1691.5166931637521</v>
      </c>
      <c r="E8" s="32">
        <f t="shared" ref="E8:H8" si="0">SUM(E5:E7)</f>
        <v>1885.3577106518283</v>
      </c>
      <c r="F8" s="32">
        <f t="shared" si="0"/>
        <v>2195.4248807631166</v>
      </c>
      <c r="G8" s="32">
        <f t="shared" si="0"/>
        <v>2813.2628628348475</v>
      </c>
      <c r="H8" s="19">
        <f t="shared" si="0"/>
        <v>3770.5762670373438</v>
      </c>
    </row>
    <row r="9" spans="1:8" x14ac:dyDescent="0.3">
      <c r="A9" s="24" t="s">
        <v>25</v>
      </c>
      <c r="B9" s="74">
        <v>2625</v>
      </c>
      <c r="C9" s="74">
        <v>2985</v>
      </c>
      <c r="D9" s="32">
        <f>'Capacity Expansion'!C24</f>
        <v>2959.5460158283686</v>
      </c>
      <c r="E9" s="32">
        <f>'Capacity Expansion'!D24</f>
        <v>3095.2196110456434</v>
      </c>
      <c r="F9" s="32">
        <f>'Capacity Expansion'!E24</f>
        <v>3417.8790521407295</v>
      </c>
      <c r="G9" s="32">
        <f>'Capacity Expansion'!F24</f>
        <v>3719.3684213100414</v>
      </c>
      <c r="H9" s="19">
        <f>'Capacity Expansion'!G24</f>
        <v>3877.317711471961</v>
      </c>
    </row>
    <row r="10" spans="1:8" x14ac:dyDescent="0.3">
      <c r="A10" s="25" t="s">
        <v>26</v>
      </c>
      <c r="B10" s="73">
        <f>B8+B9</f>
        <v>3750</v>
      </c>
      <c r="C10" s="73">
        <f>C8+C9</f>
        <v>4592.5</v>
      </c>
      <c r="D10" s="32">
        <f>D8+D9</f>
        <v>4651.0627089921209</v>
      </c>
      <c r="E10" s="32">
        <f t="shared" ref="E10:H10" si="1">E8+E9</f>
        <v>4980.5773216974721</v>
      </c>
      <c r="F10" s="32">
        <f t="shared" si="1"/>
        <v>5613.3039329038456</v>
      </c>
      <c r="G10" s="32">
        <f t="shared" si="1"/>
        <v>6532.6312841448889</v>
      </c>
      <c r="H10" s="19">
        <f t="shared" si="1"/>
        <v>7647.8939785093044</v>
      </c>
    </row>
    <row r="11" spans="1:8" x14ac:dyDescent="0.3">
      <c r="A11" s="23" t="s">
        <v>27</v>
      </c>
      <c r="B11" s="29"/>
      <c r="C11" s="29"/>
      <c r="D11" s="29"/>
      <c r="E11" s="29"/>
      <c r="F11" s="29"/>
      <c r="G11" s="29"/>
      <c r="H11" s="16"/>
    </row>
    <row r="12" spans="1:8" x14ac:dyDescent="0.3">
      <c r="A12" s="24" t="s">
        <v>28</v>
      </c>
      <c r="B12" s="74">
        <v>360</v>
      </c>
      <c r="C12" s="74">
        <v>540</v>
      </c>
      <c r="D12" s="32">
        <f>'Income Statement'!D7*('Balance Sheet'!D26/365)</f>
        <v>646.35930047694751</v>
      </c>
      <c r="E12" s="32">
        <f>'Income Statement'!E7*('Balance Sheet'!E26/365)</f>
        <v>725.15103338632753</v>
      </c>
      <c r="F12" s="32">
        <f>'Income Statement'!F7*('Balance Sheet'!F26/365)</f>
        <v>850.95071542130381</v>
      </c>
      <c r="G12" s="32">
        <f>'Income Statement'!G7*('Balance Sheet'!G26/365)</f>
        <v>969.21844197138319</v>
      </c>
      <c r="H12" s="19">
        <f>'Income Statement'!H7*('Balance Sheet'!H26/365)</f>
        <v>1040.2021545310015</v>
      </c>
    </row>
    <row r="13" spans="1:8" x14ac:dyDescent="0.3">
      <c r="A13" s="24" t="s">
        <v>29</v>
      </c>
      <c r="B13" s="74">
        <v>190</v>
      </c>
      <c r="C13" s="74">
        <v>190</v>
      </c>
      <c r="D13" s="24">
        <f>'Debt Schedule'!C8</f>
        <v>190</v>
      </c>
      <c r="E13" s="24">
        <f>'Debt Schedule'!D8</f>
        <v>190</v>
      </c>
      <c r="F13" s="24">
        <f>'Debt Schedule'!E8</f>
        <v>190</v>
      </c>
      <c r="G13" s="24">
        <f>'Debt Schedule'!F8</f>
        <v>190</v>
      </c>
      <c r="H13" s="17">
        <f>'Debt Schedule'!G8</f>
        <v>190</v>
      </c>
    </row>
    <row r="14" spans="1:8" x14ac:dyDescent="0.3">
      <c r="A14" s="25" t="s">
        <v>30</v>
      </c>
      <c r="B14" s="73">
        <f>SUM(B12:B13)</f>
        <v>550</v>
      </c>
      <c r="C14" s="73">
        <f>SUM(C12:C13)</f>
        <v>730</v>
      </c>
      <c r="D14" s="32">
        <f>SUM(D12:D13)</f>
        <v>836.35930047694751</v>
      </c>
      <c r="E14" s="32">
        <f t="shared" ref="E14:H14" si="2">SUM(E12:E13)</f>
        <v>915.15103338632753</v>
      </c>
      <c r="F14" s="32">
        <f t="shared" si="2"/>
        <v>1040.9507154213038</v>
      </c>
      <c r="G14" s="32">
        <f t="shared" si="2"/>
        <v>1159.2184419713831</v>
      </c>
      <c r="H14" s="19">
        <f t="shared" si="2"/>
        <v>1230.2021545310015</v>
      </c>
    </row>
    <row r="15" spans="1:8" x14ac:dyDescent="0.3">
      <c r="A15" s="24" t="s">
        <v>31</v>
      </c>
      <c r="B15" s="74">
        <v>1700</v>
      </c>
      <c r="C15" s="74">
        <v>1880</v>
      </c>
      <c r="D15" s="32">
        <f>'Debt Schedule'!C15</f>
        <v>1886.9872936284701</v>
      </c>
      <c r="E15" s="32">
        <f>'Debt Schedule'!D15</f>
        <v>1973.219336682479</v>
      </c>
      <c r="F15" s="32">
        <f>'Debt Schedule'!E15</f>
        <v>2153.8012184357322</v>
      </c>
      <c r="G15" s="32">
        <f>'Debt Schedule'!F15</f>
        <v>2327.0607583706296</v>
      </c>
      <c r="H15" s="19">
        <f>'Debt Schedule'!G15</f>
        <v>2431.3725911067741</v>
      </c>
    </row>
    <row r="16" spans="1:8" x14ac:dyDescent="0.3">
      <c r="A16" s="25" t="s">
        <v>32</v>
      </c>
      <c r="B16" s="73">
        <f>B14+B15</f>
        <v>2250</v>
      </c>
      <c r="C16" s="73">
        <f>C14+C15</f>
        <v>2610</v>
      </c>
      <c r="D16" s="32">
        <f>D14+D15</f>
        <v>2723.3465941054174</v>
      </c>
      <c r="E16" s="32">
        <f t="shared" ref="E16:H16" si="3">E14+E15</f>
        <v>2888.3703700688066</v>
      </c>
      <c r="F16" s="32">
        <f t="shared" si="3"/>
        <v>3194.751933857036</v>
      </c>
      <c r="G16" s="32">
        <f t="shared" si="3"/>
        <v>3486.2792003420127</v>
      </c>
      <c r="H16" s="19">
        <f t="shared" si="3"/>
        <v>3661.5747456377758</v>
      </c>
    </row>
    <row r="17" spans="1:8" x14ac:dyDescent="0.3">
      <c r="A17" s="23" t="s">
        <v>33</v>
      </c>
      <c r="B17" s="29"/>
      <c r="C17" s="29"/>
      <c r="D17" s="29"/>
      <c r="E17" s="29"/>
      <c r="F17" s="29"/>
      <c r="G17" s="29"/>
      <c r="H17" s="16"/>
    </row>
    <row r="18" spans="1:8" x14ac:dyDescent="0.3">
      <c r="A18" s="24" t="s">
        <v>34</v>
      </c>
      <c r="B18" s="74">
        <v>1875</v>
      </c>
      <c r="C18" s="74">
        <v>2335</v>
      </c>
      <c r="D18" s="76">
        <f>C18+'Cash Flow Statement'!D19</f>
        <v>3269.3105845664668</v>
      </c>
      <c r="E18" s="76">
        <f>D18+'Cash Flow Statement'!E19</f>
        <v>3947.4748634649172</v>
      </c>
      <c r="F18" s="76">
        <f>E18+'Cash Flow Statement'!F19</f>
        <v>4136.3843704663122</v>
      </c>
      <c r="G18" s="76">
        <f>F18+'Cash Flow Statement'!G19</f>
        <v>4136.3843704663122</v>
      </c>
      <c r="H18" s="79">
        <f>G18+'Cash Flow Statement'!H19</f>
        <v>4136.3843704663122</v>
      </c>
    </row>
    <row r="19" spans="1:8" x14ac:dyDescent="0.3">
      <c r="A19" s="24" t="s">
        <v>35</v>
      </c>
      <c r="B19" s="74">
        <v>-375</v>
      </c>
      <c r="C19" s="74">
        <v>-352.5</v>
      </c>
      <c r="D19" s="76">
        <f>C19+'Income Statement'!D17</f>
        <v>-1341.5944696797637</v>
      </c>
      <c r="E19" s="76">
        <f>D19+'Income Statement'!E17</f>
        <v>-1855.2679118362521</v>
      </c>
      <c r="F19" s="76">
        <f>E19+'Income Statement'!F17</f>
        <v>-1717.832371419503</v>
      </c>
      <c r="G19" s="76">
        <f>F19+'Income Statement'!G17</f>
        <v>-1090.032286663436</v>
      </c>
      <c r="H19" s="79">
        <f>G19+'Income Statement'!H17</f>
        <v>-150.06513759478264</v>
      </c>
    </row>
    <row r="20" spans="1:8" x14ac:dyDescent="0.3">
      <c r="A20" s="25" t="s">
        <v>36</v>
      </c>
      <c r="B20" s="73">
        <f>B18+B19</f>
        <v>1500</v>
      </c>
      <c r="C20" s="73">
        <f>C18+C19</f>
        <v>1982.5</v>
      </c>
      <c r="D20" s="76">
        <f>D18+D19</f>
        <v>1927.7161148867031</v>
      </c>
      <c r="E20" s="76">
        <f t="shared" ref="E20:H20" si="4">E18+E19</f>
        <v>2092.2069516286651</v>
      </c>
      <c r="F20" s="76">
        <f t="shared" si="4"/>
        <v>2418.5519990468092</v>
      </c>
      <c r="G20" s="76">
        <f t="shared" si="4"/>
        <v>3046.3520838028762</v>
      </c>
      <c r="H20" s="79">
        <f t="shared" si="4"/>
        <v>3986.3192328715295</v>
      </c>
    </row>
    <row r="21" spans="1:8" x14ac:dyDescent="0.3">
      <c r="A21" s="25" t="s">
        <v>37</v>
      </c>
      <c r="B21" s="73">
        <f t="shared" ref="B21:H21" si="5">B16+B20</f>
        <v>3750</v>
      </c>
      <c r="C21" s="73">
        <f t="shared" si="5"/>
        <v>4592.5</v>
      </c>
      <c r="D21" s="73">
        <f t="shared" si="5"/>
        <v>4651.06270899212</v>
      </c>
      <c r="E21" s="73">
        <f t="shared" si="5"/>
        <v>4980.5773216974721</v>
      </c>
      <c r="F21" s="73">
        <f t="shared" si="5"/>
        <v>5613.3039329038456</v>
      </c>
      <c r="G21" s="73">
        <f t="shared" si="5"/>
        <v>6532.6312841448889</v>
      </c>
      <c r="H21" s="80">
        <f t="shared" si="5"/>
        <v>7647.8939785093053</v>
      </c>
    </row>
    <row r="22" spans="1:8" x14ac:dyDescent="0.3">
      <c r="A22" s="24" t="s">
        <v>38</v>
      </c>
      <c r="B22" s="76">
        <f>B10-B21</f>
        <v>0</v>
      </c>
      <c r="C22" s="76">
        <f>C10-C21</f>
        <v>0</v>
      </c>
      <c r="D22" s="24"/>
      <c r="E22" s="24"/>
      <c r="F22" s="24"/>
      <c r="G22" s="24"/>
      <c r="H22" s="17"/>
    </row>
    <row r="23" spans="1:8" x14ac:dyDescent="0.3">
      <c r="A23" s="26" t="s">
        <v>185</v>
      </c>
      <c r="B23" s="29"/>
      <c r="C23" s="29"/>
      <c r="D23" s="29"/>
      <c r="E23" s="29"/>
      <c r="F23" s="29"/>
      <c r="G23" s="29"/>
      <c r="H23" s="16"/>
    </row>
    <row r="24" spans="1:8" x14ac:dyDescent="0.3">
      <c r="A24" s="27" t="s">
        <v>186</v>
      </c>
      <c r="B24" s="85">
        <f>B6/'Income Statement'!B5*365</f>
        <v>36.5</v>
      </c>
      <c r="C24" s="85">
        <f>C6/'Income Statement'!C5*365</f>
        <v>36.5</v>
      </c>
      <c r="D24" s="87">
        <f>C24</f>
        <v>36.5</v>
      </c>
      <c r="E24" s="87">
        <f t="shared" ref="E24:H24" si="6">D24</f>
        <v>36.5</v>
      </c>
      <c r="F24" s="87">
        <f t="shared" si="6"/>
        <v>36.5</v>
      </c>
      <c r="G24" s="87">
        <f t="shared" si="6"/>
        <v>36.5</v>
      </c>
      <c r="H24" s="81">
        <f t="shared" si="6"/>
        <v>36.5</v>
      </c>
    </row>
    <row r="25" spans="1:8" x14ac:dyDescent="0.3">
      <c r="A25" s="27" t="s">
        <v>187</v>
      </c>
      <c r="B25" s="85">
        <f>B7/'Income Statement'!B7*365</f>
        <v>68.4375</v>
      </c>
      <c r="C25" s="85">
        <f>C7/'Income Statement'!C7*365</f>
        <v>73</v>
      </c>
      <c r="D25" s="87">
        <f>C25</f>
        <v>73</v>
      </c>
      <c r="E25" s="87">
        <f t="shared" ref="E25:H25" si="7">D25</f>
        <v>73</v>
      </c>
      <c r="F25" s="87">
        <f t="shared" si="7"/>
        <v>73</v>
      </c>
      <c r="G25" s="87">
        <f t="shared" si="7"/>
        <v>73</v>
      </c>
      <c r="H25" s="81">
        <f t="shared" si="7"/>
        <v>73</v>
      </c>
    </row>
    <row r="26" spans="1:8" x14ac:dyDescent="0.3">
      <c r="A26" s="27" t="s">
        <v>188</v>
      </c>
      <c r="B26" s="85">
        <f>B12/'Income Statement'!B7*365</f>
        <v>54.75</v>
      </c>
      <c r="C26" s="85">
        <f>C12/'Income Statement'!C7*365</f>
        <v>58.4</v>
      </c>
      <c r="D26" s="87">
        <f>C26</f>
        <v>58.4</v>
      </c>
      <c r="E26" s="87">
        <f t="shared" ref="E26:H26" si="8">D26</f>
        <v>58.4</v>
      </c>
      <c r="F26" s="87">
        <f t="shared" si="8"/>
        <v>58.4</v>
      </c>
      <c r="G26" s="87">
        <f t="shared" si="8"/>
        <v>58.4</v>
      </c>
      <c r="H26" s="81">
        <f t="shared" si="8"/>
        <v>58.4</v>
      </c>
    </row>
    <row r="27" spans="1:8" x14ac:dyDescent="0.3">
      <c r="A27" s="84" t="s">
        <v>189</v>
      </c>
      <c r="B27" s="86">
        <f t="shared" ref="B27:H27" si="9">B6+B7-B12</f>
        <v>390</v>
      </c>
      <c r="C27" s="86">
        <f t="shared" si="9"/>
        <v>585</v>
      </c>
      <c r="D27" s="86">
        <f t="shared" si="9"/>
        <v>645.15739268680454</v>
      </c>
      <c r="E27" s="86">
        <f t="shared" si="9"/>
        <v>760.20667726550073</v>
      </c>
      <c r="F27" s="86">
        <f t="shared" si="9"/>
        <v>944.4741653418123</v>
      </c>
      <c r="G27" s="86">
        <f t="shared" si="9"/>
        <v>1115.1781240063597</v>
      </c>
      <c r="H27" s="82">
        <f t="shared" si="9"/>
        <v>1214.8172413354534</v>
      </c>
    </row>
    <row r="28" spans="1:8" ht="15" thickBot="1" x14ac:dyDescent="0.35">
      <c r="A28" s="28" t="s">
        <v>190</v>
      </c>
      <c r="B28" s="30"/>
      <c r="C28" s="45">
        <f>C27-B27</f>
        <v>195</v>
      </c>
      <c r="D28" s="45">
        <f>D27-C27</f>
        <v>60.157392686804542</v>
      </c>
      <c r="E28" s="45">
        <f t="shared" ref="E28:H28" si="10">E27-D27</f>
        <v>115.04928457869619</v>
      </c>
      <c r="F28" s="45">
        <f t="shared" si="10"/>
        <v>184.26748807631157</v>
      </c>
      <c r="G28" s="45">
        <f t="shared" si="10"/>
        <v>170.70395866454737</v>
      </c>
      <c r="H28" s="83">
        <f t="shared" si="10"/>
        <v>99.639117329093779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79447-F74F-4133-B65C-ED04E588F2E9}">
  <dimension ref="A1:H27"/>
  <sheetViews>
    <sheetView zoomScale="82" workbookViewId="0">
      <selection activeCell="B5" sqref="B5:C6"/>
    </sheetView>
  </sheetViews>
  <sheetFormatPr defaultRowHeight="14.4" x14ac:dyDescent="0.3"/>
  <cols>
    <col min="1" max="1" width="40" customWidth="1"/>
    <col min="2" max="2" width="10.77734375" customWidth="1"/>
    <col min="3" max="3" width="8.44140625" customWidth="1"/>
  </cols>
  <sheetData>
    <row r="1" spans="1:8" ht="18" x14ac:dyDescent="0.35">
      <c r="A1" s="126" t="s">
        <v>197</v>
      </c>
      <c r="B1" s="126"/>
      <c r="C1" s="126"/>
      <c r="D1" s="126"/>
      <c r="E1" s="126"/>
      <c r="F1" s="126"/>
      <c r="G1" s="126"/>
      <c r="H1" s="126"/>
    </row>
    <row r="2" spans="1:8" ht="15" thickBot="1" x14ac:dyDescent="0.35">
      <c r="A2" s="1" t="s">
        <v>39</v>
      </c>
    </row>
    <row r="3" spans="1:8" ht="15" thickBot="1" x14ac:dyDescent="0.35">
      <c r="A3" s="78"/>
      <c r="B3" s="35" t="s">
        <v>1</v>
      </c>
      <c r="C3" s="35" t="s">
        <v>2</v>
      </c>
      <c r="D3" s="35" t="s">
        <v>76</v>
      </c>
      <c r="E3" s="35" t="s">
        <v>77</v>
      </c>
      <c r="F3" s="35" t="s">
        <v>78</v>
      </c>
      <c r="G3" s="35" t="s">
        <v>79</v>
      </c>
      <c r="H3" s="36" t="s">
        <v>80</v>
      </c>
    </row>
    <row r="4" spans="1:8" x14ac:dyDescent="0.3">
      <c r="A4" s="23" t="s">
        <v>40</v>
      </c>
      <c r="B4" s="29"/>
      <c r="C4" s="29"/>
      <c r="D4" s="29"/>
      <c r="E4" s="29"/>
      <c r="F4" s="29"/>
      <c r="G4" s="29"/>
      <c r="H4" s="16"/>
    </row>
    <row r="5" spans="1:8" x14ac:dyDescent="0.3">
      <c r="A5" s="24" t="s">
        <v>15</v>
      </c>
      <c r="B5" s="71">
        <f>'Income Statement'!B17</f>
        <v>-285</v>
      </c>
      <c r="C5" s="71">
        <f>'Income Statement'!C17</f>
        <v>22.5</v>
      </c>
      <c r="D5" s="32">
        <f>'Income Statement'!D17</f>
        <v>-989.09446967976373</v>
      </c>
      <c r="E5" s="32">
        <f>'Income Statement'!E17</f>
        <v>-513.67344215648825</v>
      </c>
      <c r="F5" s="32">
        <f>'Income Statement'!F17</f>
        <v>137.43554041674901</v>
      </c>
      <c r="G5" s="32">
        <f>'Income Statement'!G17</f>
        <v>627.80008475606689</v>
      </c>
      <c r="H5" s="19">
        <f>'Income Statement'!H17</f>
        <v>939.96714906865338</v>
      </c>
    </row>
    <row r="6" spans="1:8" x14ac:dyDescent="0.3">
      <c r="A6" s="24" t="s">
        <v>41</v>
      </c>
      <c r="B6" s="71">
        <f>'Income Statement'!B12</f>
        <v>150</v>
      </c>
      <c r="C6" s="71">
        <f>'Income Statement'!C12</f>
        <v>200</v>
      </c>
      <c r="D6" s="32">
        <f>'Income Statement'!D12</f>
        <v>227.42857142857144</v>
      </c>
      <c r="E6" s="32">
        <f>'Income Statement'!E12</f>
        <v>225.48922025359002</v>
      </c>
      <c r="F6" s="32">
        <f>'Income Statement'!F12</f>
        <v>235.8262560796681</v>
      </c>
      <c r="G6" s="32">
        <f>'Income Statement'!G12</f>
        <v>260.40983254405563</v>
      </c>
      <c r="H6" s="19">
        <f>'Income Statement'!H12</f>
        <v>283.38045114743176</v>
      </c>
    </row>
    <row r="7" spans="1:8" x14ac:dyDescent="0.3">
      <c r="A7" s="24" t="s">
        <v>42</v>
      </c>
      <c r="B7" s="72"/>
      <c r="C7" s="76">
        <f>-('Balance Sheet'!C6-'Balance Sheet'!B6)</f>
        <v>-150</v>
      </c>
      <c r="D7" s="32">
        <f>-('Balance Sheet'!D6-'Balance Sheet'!C6)</f>
        <v>-33.567567567567608</v>
      </c>
      <c r="E7" s="32">
        <f>-('Balance Sheet'!E6-'Balance Sheet'!D6)</f>
        <v>-95.351351351351354</v>
      </c>
      <c r="F7" s="32">
        <f>-('Balance Sheet'!F6-'Balance Sheet'!E6)</f>
        <v>-152.81756756756761</v>
      </c>
      <c r="G7" s="32">
        <f>-('Balance Sheet'!G6-'Balance Sheet'!F6)</f>
        <v>-141.13702702702699</v>
      </c>
      <c r="H7" s="19">
        <f>-('Balance Sheet'!H6-'Balance Sheet'!G6)</f>
        <v>-81.893189189189115</v>
      </c>
    </row>
    <row r="8" spans="1:8" x14ac:dyDescent="0.3">
      <c r="A8" s="24" t="s">
        <v>43</v>
      </c>
      <c r="B8" s="72"/>
      <c r="C8" s="76">
        <f>-('Balance Sheet'!C7-'Balance Sheet'!B7)</f>
        <v>-225</v>
      </c>
      <c r="D8" s="32">
        <f>-('Balance Sheet'!D7-'Balance Sheet'!C7)</f>
        <v>-132.94912559618444</v>
      </c>
      <c r="E8" s="32">
        <f>-('Balance Sheet'!E7-'Balance Sheet'!D7)</f>
        <v>-98.489666136724964</v>
      </c>
      <c r="F8" s="32">
        <f>-('Balance Sheet'!F7-'Balance Sheet'!E7)</f>
        <v>-157.24960254372024</v>
      </c>
      <c r="G8" s="32">
        <f>-('Balance Sheet'!G7-'Balance Sheet'!F7)</f>
        <v>-147.83465818759942</v>
      </c>
      <c r="H8" s="19">
        <f>-('Balance Sheet'!H7-'Balance Sheet'!G7)</f>
        <v>-88.729640699523088</v>
      </c>
    </row>
    <row r="9" spans="1:8" x14ac:dyDescent="0.3">
      <c r="A9" s="24" t="s">
        <v>44</v>
      </c>
      <c r="B9" s="72"/>
      <c r="C9" s="76">
        <f>'Balance Sheet'!C12-'Balance Sheet'!B12</f>
        <v>180</v>
      </c>
      <c r="D9" s="32">
        <f>'Balance Sheet'!D12-'Balance Sheet'!C12</f>
        <v>106.35930047694751</v>
      </c>
      <c r="E9" s="32">
        <f>'Balance Sheet'!E12-'Balance Sheet'!D12</f>
        <v>78.791732909380016</v>
      </c>
      <c r="F9" s="32">
        <f>'Balance Sheet'!F12-'Balance Sheet'!E12</f>
        <v>125.79968203497629</v>
      </c>
      <c r="G9" s="32">
        <f>'Balance Sheet'!G12-'Balance Sheet'!F12</f>
        <v>118.26772655007937</v>
      </c>
      <c r="H9" s="19">
        <f>'Balance Sheet'!H12-'Balance Sheet'!G12</f>
        <v>70.983712559618311</v>
      </c>
    </row>
    <row r="10" spans="1:8" x14ac:dyDescent="0.3">
      <c r="A10" s="25" t="s">
        <v>45</v>
      </c>
      <c r="B10" s="73">
        <f>B5+B6</f>
        <v>-135</v>
      </c>
      <c r="C10" s="73">
        <f>SUM(C5:C9)</f>
        <v>27.5</v>
      </c>
      <c r="D10" s="32">
        <f>SUM(D5:D9)</f>
        <v>-821.82329093799683</v>
      </c>
      <c r="E10" s="32">
        <f t="shared" ref="E10:H10" si="0">SUM(E5:E9)</f>
        <v>-403.23350648159453</v>
      </c>
      <c r="F10" s="32">
        <f t="shared" si="0"/>
        <v>188.99430842010554</v>
      </c>
      <c r="G10" s="32">
        <f t="shared" si="0"/>
        <v>717.50595863557544</v>
      </c>
      <c r="H10" s="19">
        <f t="shared" si="0"/>
        <v>1123.7084828869911</v>
      </c>
    </row>
    <row r="11" spans="1:8" x14ac:dyDescent="0.3">
      <c r="A11" s="24"/>
      <c r="B11" s="24"/>
      <c r="C11" s="24"/>
      <c r="D11" s="24"/>
      <c r="E11" s="24"/>
      <c r="F11" s="24"/>
      <c r="G11" s="24"/>
      <c r="H11" s="17"/>
    </row>
    <row r="12" spans="1:8" x14ac:dyDescent="0.3">
      <c r="A12" s="23" t="s">
        <v>46</v>
      </c>
      <c r="B12" s="29"/>
      <c r="C12" s="29"/>
      <c r="D12" s="29"/>
      <c r="E12" s="29"/>
      <c r="F12" s="29"/>
      <c r="G12" s="29"/>
      <c r="H12" s="16"/>
    </row>
    <row r="13" spans="1:8" x14ac:dyDescent="0.3">
      <c r="A13" s="24" t="s">
        <v>47</v>
      </c>
      <c r="B13" s="74">
        <v>-500</v>
      </c>
      <c r="C13" s="74">
        <v>-560</v>
      </c>
      <c r="D13" s="32">
        <f>-'Capacity Expansion'!C18</f>
        <v>-201.97458725694025</v>
      </c>
      <c r="E13" s="32">
        <f>-'Capacity Expansion'!D18</f>
        <v>-361.16281547086498</v>
      </c>
      <c r="F13" s="32">
        <f>-'Capacity Expansion'!E18</f>
        <v>-558.48569717475391</v>
      </c>
      <c r="G13" s="32">
        <f>-'Capacity Expansion'!F18</f>
        <v>-561.89920171336757</v>
      </c>
      <c r="H13" s="19">
        <f>-'Capacity Expansion'!G18</f>
        <v>-441.32974130935111</v>
      </c>
    </row>
    <row r="14" spans="1:8" x14ac:dyDescent="0.3">
      <c r="A14" s="25" t="s">
        <v>48</v>
      </c>
      <c r="B14" s="73">
        <f>B13</f>
        <v>-500</v>
      </c>
      <c r="C14" s="73">
        <f>C13</f>
        <v>-560</v>
      </c>
      <c r="D14" s="32">
        <f>D13</f>
        <v>-201.97458725694025</v>
      </c>
      <c r="E14" s="32">
        <f t="shared" ref="E14:H14" si="1">E13</f>
        <v>-361.16281547086498</v>
      </c>
      <c r="F14" s="32">
        <f t="shared" si="1"/>
        <v>-558.48569717475391</v>
      </c>
      <c r="G14" s="32">
        <f t="shared" si="1"/>
        <v>-561.89920171336757</v>
      </c>
      <c r="H14" s="19">
        <f t="shared" si="1"/>
        <v>-441.32974130935111</v>
      </c>
    </row>
    <row r="15" spans="1:8" x14ac:dyDescent="0.3">
      <c r="A15" s="24"/>
      <c r="B15" s="24"/>
      <c r="C15" s="24"/>
      <c r="D15" s="32"/>
      <c r="E15" s="32"/>
      <c r="F15" s="32"/>
      <c r="G15" s="32"/>
      <c r="H15" s="19"/>
    </row>
    <row r="16" spans="1:8" x14ac:dyDescent="0.3">
      <c r="A16" s="23" t="s">
        <v>49</v>
      </c>
      <c r="B16" s="29"/>
      <c r="C16" s="29"/>
      <c r="D16" s="29"/>
      <c r="E16" s="29"/>
      <c r="F16" s="29"/>
      <c r="G16" s="29"/>
      <c r="H16" s="16"/>
    </row>
    <row r="17" spans="1:8" x14ac:dyDescent="0.3">
      <c r="A17" s="24" t="s">
        <v>50</v>
      </c>
      <c r="B17" s="74">
        <v>700</v>
      </c>
      <c r="C17" s="74">
        <v>280</v>
      </c>
      <c r="D17" s="32">
        <f>'Debt Schedule'!C6+'Debt Schedule'!C13</f>
        <v>100.98729362847013</v>
      </c>
      <c r="E17" s="32">
        <f>'Debt Schedule'!D6+'Debt Schedule'!D13</f>
        <v>180.58140773543249</v>
      </c>
      <c r="F17" s="32">
        <f>'Debt Schedule'!E6+'Debt Schedule'!E13</f>
        <v>279.24284858737695</v>
      </c>
      <c r="G17" s="32">
        <f>'Debt Schedule'!F6+'Debt Schedule'!F13</f>
        <v>280.94960085668379</v>
      </c>
      <c r="H17" s="19">
        <f>'Debt Schedule'!G6+'Debt Schedule'!G13</f>
        <v>220.66487065467555</v>
      </c>
    </row>
    <row r="18" spans="1:8" x14ac:dyDescent="0.3">
      <c r="A18" s="24" t="s">
        <v>51</v>
      </c>
      <c r="B18" s="74">
        <v>-50</v>
      </c>
      <c r="C18" s="74">
        <v>-100</v>
      </c>
      <c r="D18" s="32">
        <f>'Debt Schedule'!C7+'Debt Schedule'!C14</f>
        <v>-94</v>
      </c>
      <c r="E18" s="32">
        <f>'Debt Schedule'!D7+'Debt Schedule'!D14</f>
        <v>-94.349364681423509</v>
      </c>
      <c r="F18" s="32">
        <f>'Debt Schedule'!E7+'Debt Schedule'!E14</f>
        <v>-98.660966834123954</v>
      </c>
      <c r="G18" s="32">
        <f>'Debt Schedule'!F7+'Debt Schedule'!F14</f>
        <v>-107.69006092178661</v>
      </c>
      <c r="H18" s="19">
        <f>'Debt Schedule'!G7+'Debt Schedule'!G14</f>
        <v>-116.35303791853148</v>
      </c>
    </row>
    <row r="19" spans="1:8" x14ac:dyDescent="0.3">
      <c r="A19" s="24" t="s">
        <v>52</v>
      </c>
      <c r="B19" s="74">
        <v>1200</v>
      </c>
      <c r="C19" s="74">
        <v>460</v>
      </c>
      <c r="D19" s="32">
        <f>MAX(0,'Debt Schedule'!C25-(D23+D10+D14+D17+D18))</f>
        <v>934.31058456646701</v>
      </c>
      <c r="E19" s="32">
        <f>MAX(0,'Debt Schedule'!D25-(E23+E10+E14+E17+E18))</f>
        <v>678.16427889845056</v>
      </c>
      <c r="F19" s="32">
        <f>MAX(0,'Debt Schedule'!E25-(F23+F10+F14+F17+F18))</f>
        <v>188.90950700139535</v>
      </c>
      <c r="G19" s="32">
        <f>MAX(0,'Debt Schedule'!F25-(G23+G10+G14+G17+G18))</f>
        <v>0</v>
      </c>
      <c r="H19" s="19">
        <f>MAX(0,'Debt Schedule'!G25-(H23+H10+H14+H17+H18))</f>
        <v>0</v>
      </c>
    </row>
    <row r="20" spans="1:8" x14ac:dyDescent="0.3">
      <c r="A20" s="25" t="s">
        <v>53</v>
      </c>
      <c r="B20" s="73">
        <f>SUM(B17:B19)</f>
        <v>1850</v>
      </c>
      <c r="C20" s="73">
        <f>SUM(C17:C19)</f>
        <v>640</v>
      </c>
      <c r="D20" s="32">
        <f>SUM(D17:D19)</f>
        <v>941.29787819493708</v>
      </c>
      <c r="E20" s="32">
        <f t="shared" ref="E20:H20" si="2">SUM(E17:E19)</f>
        <v>764.39632195245952</v>
      </c>
      <c r="F20" s="32">
        <f t="shared" si="2"/>
        <v>369.49138875464837</v>
      </c>
      <c r="G20" s="32">
        <f t="shared" si="2"/>
        <v>173.25953993489719</v>
      </c>
      <c r="H20" s="19">
        <f t="shared" si="2"/>
        <v>104.31183273614407</v>
      </c>
    </row>
    <row r="21" spans="1:8" x14ac:dyDescent="0.3">
      <c r="A21" s="24"/>
      <c r="B21" s="24"/>
      <c r="C21" s="24"/>
      <c r="D21" s="32"/>
      <c r="E21" s="32"/>
      <c r="F21" s="32"/>
      <c r="G21" s="32"/>
      <c r="H21" s="19"/>
    </row>
    <row r="22" spans="1:8" x14ac:dyDescent="0.3">
      <c r="A22" s="25" t="s">
        <v>54</v>
      </c>
      <c r="B22" s="73">
        <f>B10+B14+B20</f>
        <v>1215</v>
      </c>
      <c r="C22" s="73">
        <f>C10+C14+C20</f>
        <v>107.5</v>
      </c>
      <c r="D22" s="32">
        <f>D10+D14+D20</f>
        <v>-82.5</v>
      </c>
      <c r="E22" s="32">
        <f t="shared" ref="E22:H22" si="3">E10+E14+E20</f>
        <v>0</v>
      </c>
      <c r="F22" s="32">
        <f t="shared" si="3"/>
        <v>0</v>
      </c>
      <c r="G22" s="32">
        <f t="shared" si="3"/>
        <v>328.86629685710506</v>
      </c>
      <c r="H22" s="19">
        <f t="shared" si="3"/>
        <v>786.69057431378405</v>
      </c>
    </row>
    <row r="23" spans="1:8" x14ac:dyDescent="0.3">
      <c r="A23" s="24" t="s">
        <v>55</v>
      </c>
      <c r="B23" s="72"/>
      <c r="C23" s="71">
        <f>'Balance Sheet'!B5</f>
        <v>375</v>
      </c>
      <c r="D23" s="32">
        <f>C24</f>
        <v>482.5</v>
      </c>
      <c r="E23" s="32">
        <f t="shared" ref="E23:H23" si="4">D24</f>
        <v>400</v>
      </c>
      <c r="F23" s="32">
        <f t="shared" si="4"/>
        <v>400</v>
      </c>
      <c r="G23" s="32">
        <f t="shared" si="4"/>
        <v>400</v>
      </c>
      <c r="H23" s="19">
        <f t="shared" si="4"/>
        <v>728.866296857105</v>
      </c>
    </row>
    <row r="24" spans="1:8" x14ac:dyDescent="0.3">
      <c r="A24" s="25" t="s">
        <v>56</v>
      </c>
      <c r="B24" s="75">
        <f>'Balance Sheet'!B5</f>
        <v>375</v>
      </c>
      <c r="C24" s="73">
        <f>C23+C22</f>
        <v>482.5</v>
      </c>
      <c r="D24" s="32">
        <f>D23+D22</f>
        <v>400</v>
      </c>
      <c r="E24" s="32">
        <f t="shared" ref="E24:H24" si="5">E23+E22</f>
        <v>400</v>
      </c>
      <c r="F24" s="32">
        <f t="shared" si="5"/>
        <v>400</v>
      </c>
      <c r="G24" s="32">
        <f t="shared" si="5"/>
        <v>728.866296857105</v>
      </c>
      <c r="H24" s="19">
        <f t="shared" si="5"/>
        <v>1515.5568711708891</v>
      </c>
    </row>
    <row r="25" spans="1:8" ht="15" thickBot="1" x14ac:dyDescent="0.35">
      <c r="A25" s="30" t="s">
        <v>57</v>
      </c>
      <c r="B25" s="30"/>
      <c r="C25" s="77">
        <f>C24-'Balance Sheet'!C5</f>
        <v>0</v>
      </c>
      <c r="D25" s="77">
        <f>D24-'Balance Sheet'!D5</f>
        <v>0</v>
      </c>
      <c r="E25" s="77">
        <f>E24-'Balance Sheet'!E5</f>
        <v>0</v>
      </c>
      <c r="F25" s="77">
        <f>F24-'Balance Sheet'!F5</f>
        <v>0</v>
      </c>
      <c r="G25" s="77">
        <f>G24-'Balance Sheet'!G5</f>
        <v>0</v>
      </c>
      <c r="H25" s="69">
        <f>H24-'Balance Sheet'!H5</f>
        <v>0</v>
      </c>
    </row>
    <row r="27" spans="1:8" x14ac:dyDescent="0.3">
      <c r="A27" s="4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AECE-45D2-4783-BF31-C212F0B4C4EB}">
  <dimension ref="A1:B25"/>
  <sheetViews>
    <sheetView zoomScale="83" workbookViewId="0">
      <selection activeCell="B24" sqref="B24:B25"/>
    </sheetView>
  </sheetViews>
  <sheetFormatPr defaultRowHeight="14.4" x14ac:dyDescent="0.3"/>
  <cols>
    <col min="1" max="1" width="52.44140625" customWidth="1"/>
    <col min="2" max="4" width="47.21875" customWidth="1"/>
  </cols>
  <sheetData>
    <row r="1" spans="1:2" ht="18" x14ac:dyDescent="0.35">
      <c r="A1" s="126" t="s">
        <v>198</v>
      </c>
      <c r="B1" s="126"/>
    </row>
    <row r="2" spans="1:2" ht="15" thickBot="1" x14ac:dyDescent="0.35">
      <c r="A2" s="5" t="s">
        <v>58</v>
      </c>
    </row>
    <row r="3" spans="1:2" x14ac:dyDescent="0.3">
      <c r="A3" s="61" t="s">
        <v>59</v>
      </c>
      <c r="B3" s="54"/>
    </row>
    <row r="4" spans="1:2" x14ac:dyDescent="0.3">
      <c r="A4" s="24" t="s">
        <v>60</v>
      </c>
      <c r="B4" s="55">
        <f>Assumptions!B4</f>
        <v>4.2500000000000003E-2</v>
      </c>
    </row>
    <row r="5" spans="1:2" x14ac:dyDescent="0.3">
      <c r="A5" s="24" t="s">
        <v>61</v>
      </c>
      <c r="B5" s="56">
        <f>Assumptions!B5</f>
        <v>1.85</v>
      </c>
    </row>
    <row r="6" spans="1:2" x14ac:dyDescent="0.3">
      <c r="A6" s="24" t="s">
        <v>62</v>
      </c>
      <c r="B6" s="55">
        <f>Assumptions!B6</f>
        <v>5.5E-2</v>
      </c>
    </row>
    <row r="7" spans="1:2" x14ac:dyDescent="0.3">
      <c r="A7" s="25" t="s">
        <v>63</v>
      </c>
      <c r="B7" s="57">
        <f>B4+(B5*B6)</f>
        <v>0.14425000000000002</v>
      </c>
    </row>
    <row r="8" spans="1:2" ht="15" thickBot="1" x14ac:dyDescent="0.35">
      <c r="A8" s="30"/>
      <c r="B8" s="62"/>
    </row>
    <row r="9" spans="1:2" x14ac:dyDescent="0.3">
      <c r="A9" s="61" t="s">
        <v>64</v>
      </c>
      <c r="B9" s="54"/>
    </row>
    <row r="10" spans="1:2" x14ac:dyDescent="0.3">
      <c r="A10" s="24" t="s">
        <v>65</v>
      </c>
      <c r="B10" s="55">
        <f>Assumptions!B7</f>
        <v>7.4999999999999997E-2</v>
      </c>
    </row>
    <row r="11" spans="1:2" x14ac:dyDescent="0.3">
      <c r="A11" s="24" t="s">
        <v>66</v>
      </c>
      <c r="B11" s="55">
        <f>Assumptions!B8</f>
        <v>0.21</v>
      </c>
    </row>
    <row r="12" spans="1:2" x14ac:dyDescent="0.3">
      <c r="A12" s="25" t="s">
        <v>67</v>
      </c>
      <c r="B12" s="57">
        <f>B10*(1-B11)</f>
        <v>5.9249999999999997E-2</v>
      </c>
    </row>
    <row r="13" spans="1:2" ht="15" thickBot="1" x14ac:dyDescent="0.35">
      <c r="A13" s="30"/>
      <c r="B13" s="62"/>
    </row>
    <row r="14" spans="1:2" x14ac:dyDescent="0.3">
      <c r="A14" s="61" t="s">
        <v>68</v>
      </c>
      <c r="B14" s="54"/>
    </row>
    <row r="15" spans="1:2" x14ac:dyDescent="0.3">
      <c r="A15" s="24" t="s">
        <v>69</v>
      </c>
      <c r="B15" s="58">
        <f>B24*B25</f>
        <v>3560</v>
      </c>
    </row>
    <row r="16" spans="1:2" x14ac:dyDescent="0.3">
      <c r="A16" s="24" t="s">
        <v>70</v>
      </c>
      <c r="B16" s="58">
        <f>'Balance Sheet'!C13+'Balance Sheet'!C15</f>
        <v>2070</v>
      </c>
    </row>
    <row r="17" spans="1:2" x14ac:dyDescent="0.3">
      <c r="A17" s="25" t="s">
        <v>71</v>
      </c>
      <c r="B17" s="59">
        <f>B15+B16</f>
        <v>5630</v>
      </c>
    </row>
    <row r="18" spans="1:2" x14ac:dyDescent="0.3">
      <c r="A18" s="24" t="s">
        <v>72</v>
      </c>
      <c r="B18" s="60">
        <f>B15/B17</f>
        <v>0.63232682060390766</v>
      </c>
    </row>
    <row r="19" spans="1:2" x14ac:dyDescent="0.3">
      <c r="A19" s="24" t="s">
        <v>73</v>
      </c>
      <c r="B19" s="60">
        <f>B16/B17</f>
        <v>0.36767317939609234</v>
      </c>
    </row>
    <row r="20" spans="1:2" ht="15" thickBot="1" x14ac:dyDescent="0.35">
      <c r="A20" s="24"/>
      <c r="B20" s="17"/>
    </row>
    <row r="21" spans="1:2" ht="16.2" thickBot="1" x14ac:dyDescent="0.35">
      <c r="A21" s="65" t="s">
        <v>74</v>
      </c>
      <c r="B21" s="66">
        <f>B18*B7+B19*B12</f>
        <v>0.11299777975133217</v>
      </c>
    </row>
    <row r="22" spans="1:2" ht="15.6" thickTop="1" thickBot="1" x14ac:dyDescent="0.35">
      <c r="A22" s="30"/>
      <c r="B22" s="62"/>
    </row>
    <row r="23" spans="1:2" x14ac:dyDescent="0.3">
      <c r="A23" s="63" t="s">
        <v>183</v>
      </c>
      <c r="B23" s="64"/>
    </row>
    <row r="24" spans="1:2" x14ac:dyDescent="0.3">
      <c r="A24" s="27" t="s">
        <v>157</v>
      </c>
      <c r="B24" s="124">
        <f>Assumptions!B9</f>
        <v>400</v>
      </c>
    </row>
    <row r="25" spans="1:2" ht="15" thickBot="1" x14ac:dyDescent="0.35">
      <c r="A25" s="28" t="s">
        <v>184</v>
      </c>
      <c r="B25" s="125">
        <f>Assumptions!B10</f>
        <v>8.9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602B-D92B-40E4-B40D-1751292C08DD}">
  <dimension ref="A1:G35"/>
  <sheetViews>
    <sheetView zoomScale="77" workbookViewId="0">
      <selection activeCell="C23" sqref="C23"/>
    </sheetView>
  </sheetViews>
  <sheetFormatPr defaultRowHeight="14.4" x14ac:dyDescent="0.3"/>
  <cols>
    <col min="1" max="1" width="47.21875" customWidth="1"/>
    <col min="2" max="7" width="27.21875" customWidth="1"/>
  </cols>
  <sheetData>
    <row r="1" spans="1:7" ht="18" x14ac:dyDescent="0.35">
      <c r="A1" s="126" t="s">
        <v>199</v>
      </c>
      <c r="B1" s="126"/>
      <c r="C1" s="126"/>
      <c r="D1" s="126"/>
      <c r="E1" s="126"/>
      <c r="F1" s="126"/>
      <c r="G1" s="126"/>
    </row>
    <row r="2" spans="1:7" ht="15" thickBot="1" x14ac:dyDescent="0.35">
      <c r="A2" s="5" t="s">
        <v>75</v>
      </c>
    </row>
    <row r="3" spans="1:7" ht="15" thickBot="1" x14ac:dyDescent="0.35">
      <c r="A3" s="38"/>
      <c r="B3" s="35" t="s">
        <v>76</v>
      </c>
      <c r="C3" s="35" t="s">
        <v>77</v>
      </c>
      <c r="D3" s="35" t="s">
        <v>78</v>
      </c>
      <c r="E3" s="35" t="s">
        <v>79</v>
      </c>
      <c r="F3" s="35" t="s">
        <v>80</v>
      </c>
      <c r="G3" s="35" t="s">
        <v>81</v>
      </c>
    </row>
    <row r="4" spans="1:7" x14ac:dyDescent="0.3">
      <c r="A4" s="23"/>
      <c r="B4" s="29"/>
      <c r="C4" s="29"/>
      <c r="D4" s="29"/>
      <c r="E4" s="29"/>
      <c r="F4" s="29"/>
      <c r="G4" s="29"/>
    </row>
    <row r="5" spans="1:7" x14ac:dyDescent="0.3">
      <c r="A5" s="24" t="s">
        <v>3</v>
      </c>
      <c r="B5" s="32">
        <f>'Income Statement'!D5</f>
        <v>4835.6756756756758</v>
      </c>
      <c r="C5" s="32">
        <f>'Income Statement'!E5</f>
        <v>5789.1891891891892</v>
      </c>
      <c r="D5" s="32">
        <f>'Income Statement'!F5</f>
        <v>7317.364864864865</v>
      </c>
      <c r="E5" s="32">
        <f>'Income Statement'!G5</f>
        <v>8728.7351351351354</v>
      </c>
      <c r="F5" s="32">
        <f>'Income Statement'!H5</f>
        <v>9547.6670270270261</v>
      </c>
      <c r="G5" s="32">
        <f>F5*(1+$B$24)</f>
        <v>9786.3587027027006</v>
      </c>
    </row>
    <row r="6" spans="1:7" x14ac:dyDescent="0.3">
      <c r="A6" s="24" t="s">
        <v>4</v>
      </c>
      <c r="B6" s="39">
        <f>'Income Statement'!D6</f>
        <v>7.4594594594594638E-2</v>
      </c>
      <c r="C6" s="39">
        <f>'Income Statement'!E6</f>
        <v>0.19718309859154926</v>
      </c>
      <c r="D6" s="39">
        <f>'Income Statement'!F6</f>
        <v>0.26397058823529412</v>
      </c>
      <c r="E6" s="39">
        <f>'Income Statement'!G6</f>
        <v>0.19287958115183246</v>
      </c>
      <c r="F6" s="39">
        <f>'Income Statement'!H6</f>
        <v>9.3820224719100981E-2</v>
      </c>
      <c r="G6" s="44">
        <f>$B$24</f>
        <v>2.5000000000000001E-2</v>
      </c>
    </row>
    <row r="7" spans="1:7" x14ac:dyDescent="0.3">
      <c r="A7" s="24" t="s">
        <v>9</v>
      </c>
      <c r="B7" s="32">
        <f>'Income Statement'!D11</f>
        <v>-606.41589825119229</v>
      </c>
      <c r="C7" s="32">
        <f>'Income Statement'!E11</f>
        <v>-132.41017488076295</v>
      </c>
      <c r="D7" s="32">
        <f>'Income Statement'!F11</f>
        <v>572.03674483306793</v>
      </c>
      <c r="E7" s="32">
        <f>'Income Statement'!G11</f>
        <v>1230.8785755166937</v>
      </c>
      <c r="F7" s="32">
        <f>'Income Statement'!H11</f>
        <v>1661.9918422893472</v>
      </c>
      <c r="G7" s="32">
        <f>F7*(1+$B$24)</f>
        <v>1703.5416383465808</v>
      </c>
    </row>
    <row r="8" spans="1:7" x14ac:dyDescent="0.3">
      <c r="A8" s="24" t="s">
        <v>17</v>
      </c>
      <c r="B8" s="39">
        <f>B7/B5</f>
        <v>-0.12540458436895882</v>
      </c>
      <c r="C8" s="39">
        <f t="shared" ref="C8:F8" si="0">C7/C5</f>
        <v>-2.2871972318339071E-2</v>
      </c>
      <c r="D8" s="39">
        <f t="shared" si="0"/>
        <v>7.8175238681860118E-2</v>
      </c>
      <c r="E8" s="39">
        <f t="shared" si="0"/>
        <v>0.14101454064771982</v>
      </c>
      <c r="F8" s="39">
        <f t="shared" si="0"/>
        <v>0.17407308377896605</v>
      </c>
      <c r="G8" s="39">
        <f t="shared" ref="G8" si="1">G7/G5</f>
        <v>0.17407308377896608</v>
      </c>
    </row>
    <row r="9" spans="1:7" x14ac:dyDescent="0.3">
      <c r="A9" s="24" t="s">
        <v>82</v>
      </c>
      <c r="B9" s="32">
        <f>-'Income Statement'!D12</f>
        <v>-227.42857142857144</v>
      </c>
      <c r="C9" s="32">
        <f>-'Income Statement'!E12</f>
        <v>-225.48922025359002</v>
      </c>
      <c r="D9" s="32">
        <f>-'Income Statement'!F12</f>
        <v>-235.8262560796681</v>
      </c>
      <c r="E9" s="32">
        <f>-'Income Statement'!G12</f>
        <v>-260.40983254405563</v>
      </c>
      <c r="F9" s="32">
        <f>-'Income Statement'!H12</f>
        <v>-283.38045114743176</v>
      </c>
      <c r="G9" s="32">
        <f>F9*(1+B24)</f>
        <v>-290.46496242611755</v>
      </c>
    </row>
    <row r="10" spans="1:7" x14ac:dyDescent="0.3">
      <c r="A10" s="24" t="s">
        <v>11</v>
      </c>
      <c r="B10" s="32">
        <f>B7+B9</f>
        <v>-833.84446967976373</v>
      </c>
      <c r="C10" s="32">
        <f t="shared" ref="C10:F10" si="2">C7+C9</f>
        <v>-357.89939513435297</v>
      </c>
      <c r="D10" s="32">
        <f t="shared" si="2"/>
        <v>336.21048875339983</v>
      </c>
      <c r="E10" s="32">
        <f t="shared" si="2"/>
        <v>970.46874297263798</v>
      </c>
      <c r="F10" s="32">
        <f t="shared" si="2"/>
        <v>1378.6113911419154</v>
      </c>
      <c r="G10" s="32">
        <f>G7+G9</f>
        <v>1413.0766759204632</v>
      </c>
    </row>
    <row r="11" spans="1:7" x14ac:dyDescent="0.3">
      <c r="A11" s="24" t="s">
        <v>83</v>
      </c>
      <c r="B11" s="32">
        <f>-B10*WACC!$B$11</f>
        <v>175.10733863275038</v>
      </c>
      <c r="C11" s="32">
        <f>-C10*WACC!$B$11</f>
        <v>75.15887297821412</v>
      </c>
      <c r="D11" s="32">
        <f>-D10*WACC!$B$11</f>
        <v>-70.604202638213962</v>
      </c>
      <c r="E11" s="32">
        <f>-E10*WACC!$B$11</f>
        <v>-203.79843602425396</v>
      </c>
      <c r="F11" s="32">
        <f>-F10*WACC!$B$11</f>
        <v>-289.50839213980225</v>
      </c>
      <c r="G11" s="32">
        <f>F11*(1+$B$24)</f>
        <v>-296.74610194329728</v>
      </c>
    </row>
    <row r="12" spans="1:7" x14ac:dyDescent="0.3">
      <c r="A12" s="25" t="s">
        <v>84</v>
      </c>
      <c r="B12" s="32">
        <f>B10+B11</f>
        <v>-658.73713104701335</v>
      </c>
      <c r="C12" s="32">
        <f t="shared" ref="C12:F12" si="3">C10+C11</f>
        <v>-282.74052215613887</v>
      </c>
      <c r="D12" s="32">
        <f t="shared" si="3"/>
        <v>265.60628611518587</v>
      </c>
      <c r="E12" s="32">
        <f t="shared" si="3"/>
        <v>766.670306948384</v>
      </c>
      <c r="F12" s="32">
        <f t="shared" si="3"/>
        <v>1089.1029990021132</v>
      </c>
      <c r="G12" s="32">
        <f>G10+G11</f>
        <v>1116.3305739771658</v>
      </c>
    </row>
    <row r="13" spans="1:7" x14ac:dyDescent="0.3">
      <c r="A13" s="24" t="s">
        <v>41</v>
      </c>
      <c r="B13" s="32">
        <f>'Income Statement'!D12</f>
        <v>227.42857142857144</v>
      </c>
      <c r="C13" s="32">
        <f>'Income Statement'!E12</f>
        <v>225.48922025359002</v>
      </c>
      <c r="D13" s="32">
        <f>'Income Statement'!F12</f>
        <v>235.8262560796681</v>
      </c>
      <c r="E13" s="32">
        <f>'Income Statement'!G12</f>
        <v>260.40983254405563</v>
      </c>
      <c r="F13" s="32">
        <f>'Income Statement'!H12</f>
        <v>283.38045114743176</v>
      </c>
      <c r="G13" s="32">
        <f>F13*(1+B24)</f>
        <v>290.46496242611755</v>
      </c>
    </row>
    <row r="14" spans="1:7" x14ac:dyDescent="0.3">
      <c r="A14" s="24" t="s">
        <v>85</v>
      </c>
      <c r="B14" s="33">
        <f>-'Capacity Expansion'!C18</f>
        <v>-201.97458725694025</v>
      </c>
      <c r="C14" s="33">
        <f>-'Capacity Expansion'!D18</f>
        <v>-361.16281547086498</v>
      </c>
      <c r="D14" s="33">
        <f>-'Capacity Expansion'!E18</f>
        <v>-558.48569717475391</v>
      </c>
      <c r="E14" s="33">
        <f>-'Capacity Expansion'!F18</f>
        <v>-561.89920171336757</v>
      </c>
      <c r="F14" s="33">
        <f>-'Capacity Expansion'!G18</f>
        <v>-441.32974130935111</v>
      </c>
      <c r="G14" s="32">
        <f>F14*(1+B24)</f>
        <v>-452.36298484208487</v>
      </c>
    </row>
    <row r="15" spans="1:7" x14ac:dyDescent="0.3">
      <c r="A15" s="24" t="s">
        <v>86</v>
      </c>
      <c r="B15" s="32">
        <f>-'Balance Sheet'!D28</f>
        <v>-60.157392686804542</v>
      </c>
      <c r="C15" s="32">
        <f>-'Balance Sheet'!E28</f>
        <v>-115.04928457869619</v>
      </c>
      <c r="D15" s="32">
        <f>-'Balance Sheet'!F28</f>
        <v>-184.26748807631157</v>
      </c>
      <c r="E15" s="32">
        <f>-'Balance Sheet'!G28</f>
        <v>-170.70395866454737</v>
      </c>
      <c r="F15" s="32">
        <f>-'Balance Sheet'!H28</f>
        <v>-99.639117329093779</v>
      </c>
      <c r="G15" s="32">
        <f>F15*(1+B24)</f>
        <v>-102.13009526232112</v>
      </c>
    </row>
    <row r="16" spans="1:7" x14ac:dyDescent="0.3">
      <c r="A16" s="25" t="s">
        <v>87</v>
      </c>
      <c r="B16" s="32">
        <f>B12+B13+B14+B15</f>
        <v>-693.4405395621867</v>
      </c>
      <c r="C16" s="32">
        <f t="shared" ref="C16:F16" si="4">C12+C13+C14+C15</f>
        <v>-533.46340195210996</v>
      </c>
      <c r="D16" s="32">
        <f t="shared" si="4"/>
        <v>-241.32064305621151</v>
      </c>
      <c r="E16" s="32">
        <f t="shared" si="4"/>
        <v>294.47697911452474</v>
      </c>
      <c r="F16" s="32">
        <f t="shared" si="4"/>
        <v>831.51459151110009</v>
      </c>
      <c r="G16" s="32">
        <f>G12+G13+G14+G15</f>
        <v>852.30245629887747</v>
      </c>
    </row>
    <row r="17" spans="1:7" x14ac:dyDescent="0.3">
      <c r="A17" s="24"/>
      <c r="B17" s="24"/>
      <c r="C17" s="24"/>
      <c r="D17" s="24"/>
      <c r="E17" s="24"/>
      <c r="F17" s="24"/>
      <c r="G17" s="24"/>
    </row>
    <row r="18" spans="1:7" x14ac:dyDescent="0.3">
      <c r="A18" s="24" t="s">
        <v>88</v>
      </c>
      <c r="B18" s="24">
        <v>1</v>
      </c>
      <c r="C18" s="24">
        <v>2</v>
      </c>
      <c r="D18" s="24">
        <v>3</v>
      </c>
      <c r="E18" s="24">
        <v>4</v>
      </c>
      <c r="F18" s="24">
        <v>5</v>
      </c>
      <c r="G18" s="24"/>
    </row>
    <row r="19" spans="1:7" x14ac:dyDescent="0.3">
      <c r="A19" s="24" t="s">
        <v>89</v>
      </c>
      <c r="B19" s="48">
        <f>1/(1+$B$25)^B18</f>
        <v>0.89847438889179243</v>
      </c>
      <c r="C19" s="48">
        <f t="shared" ref="C19:F19" si="5">1/(1+$B$25)^C18</f>
        <v>0.80725622749447989</v>
      </c>
      <c r="D19" s="48">
        <f t="shared" si="5"/>
        <v>0.72529904567719661</v>
      </c>
      <c r="E19" s="48">
        <f t="shared" si="5"/>
        <v>0.65166261682861948</v>
      </c>
      <c r="F19" s="48">
        <f t="shared" si="5"/>
        <v>0.58550217141872019</v>
      </c>
      <c r="G19" s="24"/>
    </row>
    <row r="20" spans="1:7" x14ac:dyDescent="0.3">
      <c r="A20" s="24" t="s">
        <v>90</v>
      </c>
      <c r="B20" s="32">
        <f>B16*B19</f>
        <v>-623.03856501593054</v>
      </c>
      <c r="C20" s="32">
        <f t="shared" ref="C20:F20" si="6">C16*C19</f>
        <v>-430.64165336623165</v>
      </c>
      <c r="D20" s="32">
        <f t="shared" si="6"/>
        <v>-175.0296321108776</v>
      </c>
      <c r="E20" s="32">
        <f t="shared" si="6"/>
        <v>191.89963880555791</v>
      </c>
      <c r="F20" s="32">
        <f t="shared" si="6"/>
        <v>486.85359889609924</v>
      </c>
      <c r="G20" s="24"/>
    </row>
    <row r="21" spans="1:7" ht="15" thickBot="1" x14ac:dyDescent="0.35">
      <c r="A21" s="24"/>
      <c r="B21" s="24"/>
      <c r="C21" s="30"/>
      <c r="D21" s="30"/>
      <c r="E21" s="30"/>
      <c r="F21" s="30"/>
      <c r="G21" s="30"/>
    </row>
    <row r="22" spans="1:7" ht="15" thickBot="1" x14ac:dyDescent="0.35">
      <c r="A22" s="51" t="s">
        <v>91</v>
      </c>
      <c r="B22" s="52"/>
      <c r="C22" s="53"/>
      <c r="D22" s="53"/>
      <c r="E22" s="53"/>
      <c r="F22" s="53"/>
      <c r="G22" s="53"/>
    </row>
    <row r="23" spans="1:7" x14ac:dyDescent="0.3">
      <c r="A23" s="24" t="s">
        <v>92</v>
      </c>
      <c r="B23" s="32">
        <f>SUM(B20:F20)</f>
        <v>-549.95661279138255</v>
      </c>
    </row>
    <row r="24" spans="1:7" x14ac:dyDescent="0.3">
      <c r="A24" s="24" t="s">
        <v>93</v>
      </c>
      <c r="B24" s="39">
        <f>Assumptions!B11</f>
        <v>2.5000000000000001E-2</v>
      </c>
    </row>
    <row r="25" spans="1:7" x14ac:dyDescent="0.3">
      <c r="A25" s="24" t="s">
        <v>94</v>
      </c>
      <c r="B25" s="31">
        <f>WACC!B21</f>
        <v>0.11299777975133217</v>
      </c>
    </row>
    <row r="26" spans="1:7" x14ac:dyDescent="0.3">
      <c r="A26" s="24" t="s">
        <v>95</v>
      </c>
      <c r="B26" s="32">
        <f>F16*(1+B24)/(B25-B24)</f>
        <v>9685.4995513222002</v>
      </c>
    </row>
    <row r="27" spans="1:7" x14ac:dyDescent="0.3">
      <c r="A27" s="24" t="s">
        <v>96</v>
      </c>
      <c r="B27" s="24">
        <f>B26/(1+B25)^F18</f>
        <v>5670.8810185741886</v>
      </c>
    </row>
    <row r="28" spans="1:7" x14ac:dyDescent="0.3">
      <c r="A28" s="25" t="s">
        <v>97</v>
      </c>
      <c r="B28" s="32">
        <f>B23+B27</f>
        <v>5120.9244057828064</v>
      </c>
    </row>
    <row r="29" spans="1:7" x14ac:dyDescent="0.3">
      <c r="A29" s="24" t="s">
        <v>98</v>
      </c>
      <c r="B29" s="24">
        <f>-'Debt Schedule'!B19</f>
        <v>-2070</v>
      </c>
    </row>
    <row r="30" spans="1:7" x14ac:dyDescent="0.3">
      <c r="A30" s="24" t="s">
        <v>99</v>
      </c>
      <c r="B30" s="24">
        <f>'Debt Schedule'!B21</f>
        <v>482.5</v>
      </c>
    </row>
    <row r="31" spans="1:7" x14ac:dyDescent="0.3">
      <c r="A31" s="25" t="s">
        <v>100</v>
      </c>
      <c r="B31" s="32">
        <f>B28+B29+B30</f>
        <v>3533.4244057828064</v>
      </c>
    </row>
    <row r="32" spans="1:7" x14ac:dyDescent="0.3">
      <c r="A32" s="24" t="s">
        <v>101</v>
      </c>
      <c r="B32" s="49">
        <f>WACC!B24</f>
        <v>400</v>
      </c>
    </row>
    <row r="33" spans="1:2" ht="15" thickBot="1" x14ac:dyDescent="0.35">
      <c r="A33" s="47" t="s">
        <v>102</v>
      </c>
      <c r="B33" s="50">
        <f>B31/B32</f>
        <v>8.8335610144570165</v>
      </c>
    </row>
    <row r="35" spans="1:2" x14ac:dyDescent="0.3">
      <c r="A35" s="2"/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7594-3CF2-4954-AB5F-765E07669DED}">
  <dimension ref="A1:G27"/>
  <sheetViews>
    <sheetView zoomScale="68" workbookViewId="0">
      <selection activeCell="B23" sqref="B23:G23"/>
    </sheetView>
  </sheetViews>
  <sheetFormatPr defaultRowHeight="14.4" x14ac:dyDescent="0.3"/>
  <cols>
    <col min="1" max="1" width="63.88671875" customWidth="1"/>
    <col min="2" max="7" width="25.44140625" customWidth="1"/>
  </cols>
  <sheetData>
    <row r="1" spans="1:7" ht="18" x14ac:dyDescent="0.35">
      <c r="A1" s="126" t="s">
        <v>200</v>
      </c>
      <c r="B1" s="126"/>
      <c r="C1" s="126"/>
      <c r="D1" s="126"/>
      <c r="E1" s="126"/>
      <c r="F1" s="126"/>
      <c r="G1" s="126"/>
    </row>
    <row r="2" spans="1:7" ht="15" thickBot="1" x14ac:dyDescent="0.35">
      <c r="A2" s="5" t="s">
        <v>103</v>
      </c>
    </row>
    <row r="3" spans="1:7" ht="15" thickBot="1" x14ac:dyDescent="0.35">
      <c r="A3" s="38"/>
      <c r="B3" s="35" t="s">
        <v>2</v>
      </c>
      <c r="C3" s="35" t="s">
        <v>76</v>
      </c>
      <c r="D3" s="35" t="s">
        <v>77</v>
      </c>
      <c r="E3" s="35" t="s">
        <v>78</v>
      </c>
      <c r="F3" s="35" t="s">
        <v>79</v>
      </c>
      <c r="G3" s="35" t="s">
        <v>80</v>
      </c>
    </row>
    <row r="4" spans="1:7" x14ac:dyDescent="0.3">
      <c r="A4" s="23" t="s">
        <v>104</v>
      </c>
      <c r="B4" s="29"/>
      <c r="C4" s="29"/>
      <c r="D4" s="29"/>
      <c r="E4" s="29"/>
      <c r="F4" s="29"/>
      <c r="G4" s="29"/>
    </row>
    <row r="5" spans="1:7" x14ac:dyDescent="0.3">
      <c r="A5" s="24" t="s">
        <v>105</v>
      </c>
      <c r="B5" s="33">
        <f>B9/B7</f>
        <v>59.618441971383149</v>
      </c>
      <c r="C5" s="33">
        <f>B5*(1+C6)</f>
        <v>66.772655007949126</v>
      </c>
      <c r="D5" s="33">
        <f t="shared" ref="D5:G5" si="0">C5*(1+D6)</f>
        <v>83.465818759936411</v>
      </c>
      <c r="E5" s="33">
        <f t="shared" si="0"/>
        <v>112.67885532591416</v>
      </c>
      <c r="F5" s="33">
        <f t="shared" si="0"/>
        <v>144.22893481717011</v>
      </c>
      <c r="G5" s="33">
        <f t="shared" si="0"/>
        <v>170.19014308426071</v>
      </c>
    </row>
    <row r="6" spans="1:7" x14ac:dyDescent="0.3">
      <c r="A6" s="24" t="s">
        <v>106</v>
      </c>
      <c r="B6" s="24"/>
      <c r="C6" s="42">
        <f>Assumptions!C13</f>
        <v>0.12</v>
      </c>
      <c r="D6" s="42">
        <f>Assumptions!D13</f>
        <v>0.25</v>
      </c>
      <c r="E6" s="42">
        <f>Assumptions!E13</f>
        <v>0.35</v>
      </c>
      <c r="F6" s="42">
        <f>Assumptions!F13</f>
        <v>0.28000000000000003</v>
      </c>
      <c r="G6" s="42">
        <f>Assumptions!G13</f>
        <v>0.18</v>
      </c>
    </row>
    <row r="7" spans="1:7" x14ac:dyDescent="0.3">
      <c r="A7" s="24" t="s">
        <v>107</v>
      </c>
      <c r="B7" s="24">
        <v>74</v>
      </c>
      <c r="C7" s="24">
        <f>B7+(D7-B7)/2</f>
        <v>71</v>
      </c>
      <c r="D7" s="24">
        <f>Assumptions!D14</f>
        <v>68</v>
      </c>
      <c r="E7" s="33">
        <f>D7+($G$7-$D$7)/3</f>
        <v>63.666666666666664</v>
      </c>
      <c r="F7" s="33">
        <f>E7+($G$7-$D$7)/3</f>
        <v>59.333333333333329</v>
      </c>
      <c r="G7" s="24">
        <f>Assumptions!G14</f>
        <v>55</v>
      </c>
    </row>
    <row r="8" spans="1:7" x14ac:dyDescent="0.3">
      <c r="A8" s="24" t="s">
        <v>108</v>
      </c>
      <c r="B8" s="24"/>
      <c r="C8" s="39">
        <f>C7/B7-1</f>
        <v>-4.0540540540540571E-2</v>
      </c>
      <c r="D8" s="39">
        <f t="shared" ref="D8:G8" si="1">D7/C7-1</f>
        <v>-4.2253521126760618E-2</v>
      </c>
      <c r="E8" s="39">
        <f t="shared" si="1"/>
        <v>-6.3725490196078427E-2</v>
      </c>
      <c r="F8" s="39">
        <f t="shared" si="1"/>
        <v>-6.8062827225130906E-2</v>
      </c>
      <c r="G8" s="39">
        <f t="shared" si="1"/>
        <v>-7.3033707865168496E-2</v>
      </c>
    </row>
    <row r="9" spans="1:7" x14ac:dyDescent="0.3">
      <c r="A9" s="24" t="s">
        <v>109</v>
      </c>
      <c r="B9" s="32">
        <f>'Income Statement'!C5/(1+'Revenue &amp; Cost Drivers'!B23)</f>
        <v>4411.7647058823532</v>
      </c>
      <c r="C9" s="33">
        <f>C5*C7</f>
        <v>4740.858505564388</v>
      </c>
      <c r="D9" s="33">
        <f t="shared" ref="D9:G9" si="2">D5*D7</f>
        <v>5675.6756756756758</v>
      </c>
      <c r="E9" s="33">
        <f t="shared" si="2"/>
        <v>7173.8871224165341</v>
      </c>
      <c r="F9" s="33">
        <f t="shared" si="2"/>
        <v>8557.5834658187596</v>
      </c>
      <c r="G9" s="33">
        <f t="shared" si="2"/>
        <v>9360.4578696343397</v>
      </c>
    </row>
    <row r="10" spans="1:7" x14ac:dyDescent="0.3">
      <c r="A10" s="24" t="s">
        <v>110</v>
      </c>
      <c r="B10" s="32">
        <f t="shared" ref="B10:G10" si="3">B9*B23</f>
        <v>88.235294117647058</v>
      </c>
      <c r="C10" s="33">
        <f t="shared" si="3"/>
        <v>94.817170111287766</v>
      </c>
      <c r="D10" s="33">
        <f t="shared" si="3"/>
        <v>113.51351351351352</v>
      </c>
      <c r="E10" s="33">
        <f t="shared" si="3"/>
        <v>143.47774244833067</v>
      </c>
      <c r="F10" s="33">
        <f t="shared" si="3"/>
        <v>171.15166931637521</v>
      </c>
      <c r="G10" s="33">
        <f t="shared" si="3"/>
        <v>187.20915739268679</v>
      </c>
    </row>
    <row r="11" spans="1:7" x14ac:dyDescent="0.3">
      <c r="A11" s="25" t="s">
        <v>111</v>
      </c>
      <c r="B11" s="32">
        <f>B9+B10</f>
        <v>4500</v>
      </c>
      <c r="C11" s="33">
        <f>C9+C10</f>
        <v>4835.6756756756758</v>
      </c>
      <c r="D11" s="33">
        <f t="shared" ref="D11:G11" si="4">D9+D10</f>
        <v>5789.1891891891892</v>
      </c>
      <c r="E11" s="33">
        <f t="shared" si="4"/>
        <v>7317.364864864865</v>
      </c>
      <c r="F11" s="33">
        <f t="shared" si="4"/>
        <v>8728.7351351351354</v>
      </c>
      <c r="G11" s="33">
        <f t="shared" si="4"/>
        <v>9547.6670270270261</v>
      </c>
    </row>
    <row r="12" spans="1:7" x14ac:dyDescent="0.3">
      <c r="A12" s="23" t="s">
        <v>112</v>
      </c>
      <c r="B12" s="29"/>
      <c r="C12" s="29"/>
      <c r="D12" s="29"/>
      <c r="E12" s="29"/>
      <c r="F12" s="29"/>
      <c r="G12" s="29"/>
    </row>
    <row r="13" spans="1:7" x14ac:dyDescent="0.3">
      <c r="A13" s="24" t="s">
        <v>113</v>
      </c>
      <c r="B13" s="24">
        <f>Assumptions!B17</f>
        <v>21</v>
      </c>
      <c r="C13" s="24">
        <f>Assumptions!C17</f>
        <v>18.5</v>
      </c>
      <c r="D13" s="24">
        <f>Assumptions!D17</f>
        <v>15.8</v>
      </c>
      <c r="E13" s="24">
        <f>Assumptions!E17</f>
        <v>13.2</v>
      </c>
      <c r="F13" s="24">
        <f>Assumptions!F17</f>
        <v>11.5</v>
      </c>
      <c r="G13" s="24">
        <f>Assumptions!G17</f>
        <v>10.199999999999999</v>
      </c>
    </row>
    <row r="14" spans="1:7" x14ac:dyDescent="0.3">
      <c r="A14" s="24" t="s">
        <v>114</v>
      </c>
      <c r="B14" s="24">
        <f>Assumptions!B18</f>
        <v>45</v>
      </c>
      <c r="C14" s="24">
        <f>Assumptions!C18</f>
        <v>42</v>
      </c>
      <c r="D14" s="24">
        <f>Assumptions!D18</f>
        <v>38.5</v>
      </c>
      <c r="E14" s="24">
        <f>Assumptions!E18</f>
        <v>34</v>
      </c>
      <c r="F14" s="24">
        <f>Assumptions!F18</f>
        <v>30.5</v>
      </c>
      <c r="G14" s="24">
        <f>Assumptions!G18</f>
        <v>28</v>
      </c>
    </row>
    <row r="15" spans="1:7" x14ac:dyDescent="0.3">
      <c r="A15" s="24" t="s">
        <v>115</v>
      </c>
      <c r="B15" s="24">
        <f>B13+B14</f>
        <v>66</v>
      </c>
      <c r="C15" s="24">
        <f t="shared" ref="C15:G15" si="5">C13+C14</f>
        <v>60.5</v>
      </c>
      <c r="D15" s="24">
        <f t="shared" si="5"/>
        <v>54.3</v>
      </c>
      <c r="E15" s="24">
        <f t="shared" si="5"/>
        <v>47.2</v>
      </c>
      <c r="F15" s="24">
        <f t="shared" si="5"/>
        <v>42</v>
      </c>
      <c r="G15" s="24">
        <f t="shared" si="5"/>
        <v>38.200000000000003</v>
      </c>
    </row>
    <row r="16" spans="1:7" x14ac:dyDescent="0.3">
      <c r="A16" s="25" t="s">
        <v>116</v>
      </c>
      <c r="B16" s="24">
        <f>'Income Statement'!C7</f>
        <v>3375</v>
      </c>
      <c r="C16" s="32">
        <f>C5*C15</f>
        <v>4039.7456279809221</v>
      </c>
      <c r="D16" s="32">
        <f>D5*D15</f>
        <v>4532.1939586645467</v>
      </c>
      <c r="E16" s="32">
        <f>E5*E15</f>
        <v>5318.4419713831485</v>
      </c>
      <c r="F16" s="32">
        <f>F5*F15</f>
        <v>6057.6152623211447</v>
      </c>
      <c r="G16" s="32">
        <f>G5*G15</f>
        <v>6501.2634658187599</v>
      </c>
    </row>
    <row r="17" spans="1:7" x14ac:dyDescent="0.3">
      <c r="A17" s="24" t="s">
        <v>16</v>
      </c>
      <c r="B17" s="42">
        <f t="shared" ref="B17:G17" si="6">(B11-B16)/B11</f>
        <v>0.25</v>
      </c>
      <c r="C17" s="42">
        <f t="shared" si="6"/>
        <v>0.16459541563104119</v>
      </c>
      <c r="D17" s="42">
        <f t="shared" si="6"/>
        <v>0.21712802768166092</v>
      </c>
      <c r="E17" s="42">
        <f t="shared" si="6"/>
        <v>0.27317523868186011</v>
      </c>
      <c r="F17" s="42">
        <f t="shared" si="6"/>
        <v>0.30601454064771977</v>
      </c>
      <c r="G17" s="42">
        <f t="shared" si="6"/>
        <v>0.31907308377896609</v>
      </c>
    </row>
    <row r="18" spans="1:7" x14ac:dyDescent="0.3">
      <c r="A18" s="24" t="s">
        <v>117</v>
      </c>
      <c r="B18" s="42">
        <f>'Income Statement'!C9/'Revenue &amp; Cost Drivers'!B11</f>
        <v>0.08</v>
      </c>
      <c r="C18" s="42">
        <f>Assumptions!C20</f>
        <v>0.14000000000000001</v>
      </c>
      <c r="D18" s="42">
        <f>Assumptions!D20</f>
        <v>0.115</v>
      </c>
      <c r="E18" s="42">
        <f>Assumptions!E20</f>
        <v>0.09</v>
      </c>
      <c r="F18" s="42">
        <f>Assumptions!F20</f>
        <v>7.4999999999999997E-2</v>
      </c>
      <c r="G18" s="42">
        <f>Assumptions!G20</f>
        <v>6.5000000000000002E-2</v>
      </c>
    </row>
    <row r="19" spans="1:7" x14ac:dyDescent="0.3">
      <c r="A19" s="24" t="s">
        <v>118</v>
      </c>
      <c r="B19" s="24">
        <f>'Income Statement'!C9</f>
        <v>360</v>
      </c>
      <c r="C19" s="46">
        <f>C11*C18</f>
        <v>676.99459459459467</v>
      </c>
      <c r="D19" s="46">
        <f>D11*D18</f>
        <v>665.75675675675677</v>
      </c>
      <c r="E19" s="46">
        <f>E11*E18</f>
        <v>658.56283783783783</v>
      </c>
      <c r="F19" s="46">
        <f>F11*F18</f>
        <v>654.65513513513508</v>
      </c>
      <c r="G19" s="46">
        <f>G11*G18</f>
        <v>620.59835675675674</v>
      </c>
    </row>
    <row r="20" spans="1:7" x14ac:dyDescent="0.3">
      <c r="A20" s="24" t="s">
        <v>119</v>
      </c>
      <c r="B20" s="42">
        <f>'Income Statement'!C10/'Revenue &amp; Cost Drivers'!B11</f>
        <v>0.1</v>
      </c>
      <c r="C20" s="42">
        <f>Assumptions!C21</f>
        <v>0.15</v>
      </c>
      <c r="D20" s="42">
        <f>Assumptions!D21</f>
        <v>0.125</v>
      </c>
      <c r="E20" s="42">
        <f>Assumptions!E21</f>
        <v>0.105</v>
      </c>
      <c r="F20" s="42">
        <f>Assumptions!F21</f>
        <v>0.09</v>
      </c>
      <c r="G20" s="42">
        <f>Assumptions!G21</f>
        <v>0.08</v>
      </c>
    </row>
    <row r="21" spans="1:7" x14ac:dyDescent="0.3">
      <c r="A21" s="24" t="s">
        <v>120</v>
      </c>
      <c r="B21" s="24">
        <f>'Income Statement'!C10</f>
        <v>450</v>
      </c>
      <c r="C21" s="33">
        <f>C11*C20</f>
        <v>725.35135135135135</v>
      </c>
      <c r="D21" s="33">
        <f>D11*D20</f>
        <v>723.64864864864865</v>
      </c>
      <c r="E21" s="33">
        <f>E11*E20</f>
        <v>768.32331081081077</v>
      </c>
      <c r="F21" s="33">
        <f>F11*F20</f>
        <v>785.58616216216217</v>
      </c>
      <c r="G21" s="33">
        <f>G11*G20</f>
        <v>763.81336216216209</v>
      </c>
    </row>
    <row r="22" spans="1:7" x14ac:dyDescent="0.3">
      <c r="A22" s="26" t="s">
        <v>178</v>
      </c>
      <c r="B22" s="29"/>
      <c r="C22" s="29"/>
      <c r="D22" s="29"/>
      <c r="E22" s="29"/>
      <c r="F22" s="29"/>
      <c r="G22" s="29"/>
    </row>
    <row r="23" spans="1:7" x14ac:dyDescent="0.3">
      <c r="A23" s="24" t="s">
        <v>179</v>
      </c>
      <c r="B23" s="122">
        <f>Assumptions!$B$15</f>
        <v>0.02</v>
      </c>
      <c r="C23" s="122">
        <f>Assumptions!$B$15</f>
        <v>0.02</v>
      </c>
      <c r="D23" s="122">
        <f>Assumptions!$B$15</f>
        <v>0.02</v>
      </c>
      <c r="E23" s="122">
        <f>Assumptions!$B$15</f>
        <v>0.02</v>
      </c>
      <c r="F23" s="122">
        <f>Assumptions!$B$15</f>
        <v>0.02</v>
      </c>
      <c r="G23" s="122">
        <f>Assumptions!$B$15</f>
        <v>0.02</v>
      </c>
    </row>
    <row r="24" spans="1:7" x14ac:dyDescent="0.3">
      <c r="A24" s="27" t="s">
        <v>180</v>
      </c>
      <c r="B24" s="24"/>
      <c r="C24" s="24"/>
      <c r="D24" s="24"/>
      <c r="E24" s="24"/>
      <c r="F24" s="24"/>
      <c r="G24" s="24"/>
    </row>
    <row r="25" spans="1:7" x14ac:dyDescent="0.3">
      <c r="A25" s="27" t="s">
        <v>181</v>
      </c>
      <c r="B25" s="40">
        <f>B5*B15</f>
        <v>3934.8171701112879</v>
      </c>
      <c r="C25" s="24"/>
      <c r="D25" s="24"/>
      <c r="E25" s="24"/>
      <c r="F25" s="24"/>
      <c r="G25" s="24"/>
    </row>
    <row r="26" spans="1:7" ht="15" thickBot="1" x14ac:dyDescent="0.35">
      <c r="A26" s="28" t="s">
        <v>182</v>
      </c>
      <c r="B26" s="45">
        <f>B25-B16</f>
        <v>559.81717011128785</v>
      </c>
      <c r="C26" s="30"/>
      <c r="D26" s="30"/>
      <c r="E26" s="30"/>
      <c r="F26" s="30"/>
      <c r="G26" s="30"/>
    </row>
    <row r="27" spans="1:7" x14ac:dyDescent="0.3">
      <c r="A27" s="9"/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A697-1E13-4455-98E3-80B97835E738}">
  <dimension ref="A1:G30"/>
  <sheetViews>
    <sheetView zoomScale="66" zoomScaleNormal="108" workbookViewId="0">
      <selection activeCell="G3" sqref="G3:G29"/>
    </sheetView>
  </sheetViews>
  <sheetFormatPr defaultRowHeight="14.4" x14ac:dyDescent="0.3"/>
  <cols>
    <col min="1" max="1" width="61.77734375" customWidth="1"/>
    <col min="2" max="7" width="25.44140625" customWidth="1"/>
  </cols>
  <sheetData>
    <row r="1" spans="1:7" ht="18" x14ac:dyDescent="0.35">
      <c r="A1" s="126" t="s">
        <v>201</v>
      </c>
      <c r="B1" s="126"/>
      <c r="C1" s="126"/>
      <c r="D1" s="126"/>
      <c r="E1" s="126"/>
      <c r="F1" s="126"/>
      <c r="G1" s="126"/>
    </row>
    <row r="2" spans="1:7" ht="15" thickBot="1" x14ac:dyDescent="0.35">
      <c r="A2" s="5" t="s">
        <v>121</v>
      </c>
    </row>
    <row r="3" spans="1:7" ht="15" thickBot="1" x14ac:dyDescent="0.35">
      <c r="A3" s="38"/>
      <c r="B3" s="35" t="s">
        <v>2</v>
      </c>
      <c r="C3" s="35" t="s">
        <v>76</v>
      </c>
      <c r="D3" s="35" t="s">
        <v>77</v>
      </c>
      <c r="E3" s="35" t="s">
        <v>78</v>
      </c>
      <c r="F3" s="35" t="s">
        <v>79</v>
      </c>
      <c r="G3" s="36" t="s">
        <v>80</v>
      </c>
    </row>
    <row r="4" spans="1:7" x14ac:dyDescent="0.3">
      <c r="A4" s="23" t="s">
        <v>122</v>
      </c>
      <c r="B4" s="29"/>
      <c r="C4" s="29"/>
      <c r="D4" s="29"/>
      <c r="E4" s="29"/>
      <c r="F4" s="29"/>
      <c r="G4" s="3"/>
    </row>
    <row r="5" spans="1:7" x14ac:dyDescent="0.3">
      <c r="A5" s="24" t="s">
        <v>123</v>
      </c>
      <c r="B5" s="33">
        <f>'Revenue &amp; Cost Drivers'!B5</f>
        <v>59.618441971383149</v>
      </c>
      <c r="C5" s="33">
        <f>'Revenue &amp; Cost Drivers'!C5</f>
        <v>66.772655007949126</v>
      </c>
      <c r="D5" s="33">
        <f>'Revenue &amp; Cost Drivers'!D5</f>
        <v>83.465818759936411</v>
      </c>
      <c r="E5" s="33">
        <f>'Revenue &amp; Cost Drivers'!E5</f>
        <v>112.67885532591416</v>
      </c>
      <c r="F5" s="33">
        <f>'Revenue &amp; Cost Drivers'!F5</f>
        <v>144.22893481717011</v>
      </c>
      <c r="G5" s="10">
        <f>'Revenue &amp; Cost Drivers'!G5</f>
        <v>170.19014308426071</v>
      </c>
    </row>
    <row r="6" spans="1:7" x14ac:dyDescent="0.3">
      <c r="A6" s="24" t="s">
        <v>124</v>
      </c>
      <c r="B6" s="24">
        <f>B5/B7</f>
        <v>100</v>
      </c>
      <c r="C6" s="33">
        <f t="shared" ref="C6:G6" si="0">C5/C7</f>
        <v>102.72716155069097</v>
      </c>
      <c r="D6" s="33">
        <f t="shared" si="0"/>
        <v>117.14500878587566</v>
      </c>
      <c r="E6" s="33">
        <f t="shared" si="0"/>
        <v>145.39207138827632</v>
      </c>
      <c r="F6" s="33">
        <f t="shared" si="0"/>
        <v>172.21365351303893</v>
      </c>
      <c r="G6" s="10">
        <f t="shared" si="0"/>
        <v>189.10015898251189</v>
      </c>
    </row>
    <row r="7" spans="1:7" x14ac:dyDescent="0.3">
      <c r="A7" s="24" t="s">
        <v>125</v>
      </c>
      <c r="B7" s="39">
        <f>B5/B12</f>
        <v>0.59618441971383151</v>
      </c>
      <c r="C7" s="42">
        <f>Assumptions!C24</f>
        <v>0.65</v>
      </c>
      <c r="D7" s="31">
        <f>C7+($G$7-$C$7)/4</f>
        <v>0.71250000000000002</v>
      </c>
      <c r="E7" s="31">
        <f t="shared" ref="E7:F7" si="1">D7+($G$7-$C$7)/4</f>
        <v>0.77500000000000002</v>
      </c>
      <c r="F7" s="31">
        <f t="shared" si="1"/>
        <v>0.83750000000000002</v>
      </c>
      <c r="G7" s="12">
        <f>Assumptions!G24</f>
        <v>0.9</v>
      </c>
    </row>
    <row r="8" spans="1:7" x14ac:dyDescent="0.3">
      <c r="A8" s="23" t="s">
        <v>126</v>
      </c>
      <c r="B8" s="29"/>
      <c r="C8" s="29"/>
      <c r="D8" s="29"/>
      <c r="E8" s="29"/>
      <c r="F8" s="29"/>
      <c r="G8" s="3"/>
    </row>
    <row r="9" spans="1:7" x14ac:dyDescent="0.3">
      <c r="A9" s="24" t="s">
        <v>127</v>
      </c>
      <c r="B9" s="24"/>
      <c r="C9" s="24">
        <f>B12</f>
        <v>100</v>
      </c>
      <c r="D9" s="33">
        <f t="shared" ref="D9:G9" si="2">C12</f>
        <v>102.72716155069097</v>
      </c>
      <c r="E9" s="33">
        <f t="shared" si="2"/>
        <v>117.14500878587566</v>
      </c>
      <c r="F9" s="33">
        <f t="shared" si="2"/>
        <v>145.39207138827632</v>
      </c>
      <c r="G9" s="10">
        <f t="shared" si="2"/>
        <v>172.21365351303893</v>
      </c>
    </row>
    <row r="10" spans="1:7" x14ac:dyDescent="0.3">
      <c r="A10" s="24" t="s">
        <v>128</v>
      </c>
      <c r="B10" s="24"/>
      <c r="C10" s="33">
        <f>MAX(0,C6-C9)</f>
        <v>2.7271615506909654</v>
      </c>
      <c r="D10" s="33">
        <f>MAX(0,D6-D9)</f>
        <v>14.417847235184695</v>
      </c>
      <c r="E10" s="33">
        <f>MAX(0,E6-E9)</f>
        <v>28.247062602400661</v>
      </c>
      <c r="F10" s="33">
        <f>MAX(0,F6-F9)</f>
        <v>26.821582124762614</v>
      </c>
      <c r="G10" s="10">
        <f>MAX(0,G6-G9)</f>
        <v>16.886505469472951</v>
      </c>
    </row>
    <row r="11" spans="1:7" x14ac:dyDescent="0.3">
      <c r="A11" s="24" t="s">
        <v>129</v>
      </c>
      <c r="B11" s="24"/>
      <c r="C11" s="33">
        <f>C10</f>
        <v>2.7271615506909654</v>
      </c>
      <c r="D11" s="33">
        <f t="shared" ref="D11:G11" si="3">D10</f>
        <v>14.417847235184695</v>
      </c>
      <c r="E11" s="33">
        <f t="shared" si="3"/>
        <v>28.247062602400661</v>
      </c>
      <c r="F11" s="33">
        <f t="shared" si="3"/>
        <v>26.821582124762614</v>
      </c>
      <c r="G11" s="10">
        <f t="shared" si="3"/>
        <v>16.886505469472951</v>
      </c>
    </row>
    <row r="12" spans="1:7" x14ac:dyDescent="0.3">
      <c r="A12" s="25" t="s">
        <v>130</v>
      </c>
      <c r="B12" s="24">
        <f>Assumptions!$B$23</f>
        <v>100</v>
      </c>
      <c r="C12" s="33">
        <f>C9+C11</f>
        <v>102.72716155069097</v>
      </c>
      <c r="D12" s="33">
        <f t="shared" ref="D12:G12" si="4">D9+D11</f>
        <v>117.14500878587566</v>
      </c>
      <c r="E12" s="33">
        <f t="shared" si="4"/>
        <v>145.39207138827632</v>
      </c>
      <c r="F12" s="33">
        <f t="shared" si="4"/>
        <v>172.21365351303893</v>
      </c>
      <c r="G12" s="10">
        <f t="shared" si="4"/>
        <v>189.10015898251189</v>
      </c>
    </row>
    <row r="13" spans="1:7" x14ac:dyDescent="0.3">
      <c r="A13" s="24"/>
      <c r="B13" s="24"/>
      <c r="C13" s="24"/>
      <c r="D13" s="24"/>
      <c r="E13" s="24"/>
      <c r="F13" s="24"/>
    </row>
    <row r="14" spans="1:7" x14ac:dyDescent="0.3">
      <c r="A14" s="23" t="s">
        <v>131</v>
      </c>
      <c r="B14" s="29"/>
      <c r="C14" s="29"/>
      <c r="D14" s="29"/>
      <c r="E14" s="29"/>
      <c r="F14" s="29"/>
      <c r="G14" s="3"/>
    </row>
    <row r="15" spans="1:7" x14ac:dyDescent="0.3">
      <c r="A15" s="24" t="s">
        <v>132</v>
      </c>
      <c r="B15" s="24"/>
      <c r="C15" s="24">
        <f>Assumptions!$B$25</f>
        <v>12</v>
      </c>
      <c r="D15" s="24">
        <f>Assumptions!$B$25</f>
        <v>12</v>
      </c>
      <c r="E15" s="24">
        <f>Assumptions!$B$25</f>
        <v>12</v>
      </c>
      <c r="F15" s="24">
        <f>Assumptions!$B$25</f>
        <v>12</v>
      </c>
      <c r="G15">
        <f>Assumptions!$B$25</f>
        <v>12</v>
      </c>
    </row>
    <row r="16" spans="1:7" x14ac:dyDescent="0.3">
      <c r="A16" s="24" t="s">
        <v>133</v>
      </c>
      <c r="B16" s="24"/>
      <c r="C16" s="33">
        <f>C11*C15</f>
        <v>32.725938608291585</v>
      </c>
      <c r="D16" s="33">
        <f t="shared" ref="D16:G16" si="5">D11*D15</f>
        <v>173.01416682221634</v>
      </c>
      <c r="E16" s="33">
        <f t="shared" si="5"/>
        <v>338.96475122880793</v>
      </c>
      <c r="F16" s="33">
        <f t="shared" si="5"/>
        <v>321.85898549715137</v>
      </c>
      <c r="G16" s="10">
        <f t="shared" si="5"/>
        <v>202.63806563367541</v>
      </c>
    </row>
    <row r="17" spans="1:7" x14ac:dyDescent="0.3">
      <c r="A17" s="24" t="s">
        <v>134</v>
      </c>
      <c r="B17" s="24"/>
      <c r="C17" s="32">
        <f>'Revenue &amp; Cost Drivers'!C11*C28</f>
        <v>169.24864864864867</v>
      </c>
      <c r="D17" s="32">
        <f>'Revenue &amp; Cost Drivers'!D11*D28</f>
        <v>188.14864864864865</v>
      </c>
      <c r="E17" s="32">
        <f>'Revenue &amp; Cost Drivers'!E11*E28</f>
        <v>219.52094594594595</v>
      </c>
      <c r="F17" s="32">
        <f>'Revenue &amp; Cost Drivers'!F11*F28</f>
        <v>240.04021621621618</v>
      </c>
      <c r="G17" s="11">
        <f>'Revenue &amp; Cost Drivers'!G11*G28</f>
        <v>238.69167567567567</v>
      </c>
    </row>
    <row r="18" spans="1:7" x14ac:dyDescent="0.3">
      <c r="A18" s="25" t="s">
        <v>135</v>
      </c>
      <c r="B18" s="24">
        <f>-'Cash Flow Statement'!C13</f>
        <v>560</v>
      </c>
      <c r="C18" s="33">
        <f>C16+C17</f>
        <v>201.97458725694025</v>
      </c>
      <c r="D18" s="33">
        <f t="shared" ref="D18:G18" si="6">D16+D17</f>
        <v>361.16281547086498</v>
      </c>
      <c r="E18" s="33">
        <f t="shared" si="6"/>
        <v>558.48569717475391</v>
      </c>
      <c r="F18" s="33">
        <f t="shared" si="6"/>
        <v>561.89920171336757</v>
      </c>
      <c r="G18" s="10">
        <f t="shared" si="6"/>
        <v>441.32974130935111</v>
      </c>
    </row>
    <row r="19" spans="1:7" x14ac:dyDescent="0.3">
      <c r="A19" s="24"/>
      <c r="B19" s="24"/>
      <c r="C19" s="24"/>
      <c r="D19" s="24"/>
      <c r="E19" s="24"/>
      <c r="F19" s="24"/>
    </row>
    <row r="20" spans="1:7" x14ac:dyDescent="0.3">
      <c r="A20" s="23" t="s">
        <v>136</v>
      </c>
      <c r="B20" s="29"/>
      <c r="C20" s="29"/>
      <c r="D20" s="29"/>
      <c r="E20" s="29"/>
      <c r="F20" s="29"/>
      <c r="G20" s="3"/>
    </row>
    <row r="21" spans="1:7" x14ac:dyDescent="0.3">
      <c r="A21" s="24" t="s">
        <v>137</v>
      </c>
      <c r="B21" s="24">
        <f>'Balance Sheet'!B9</f>
        <v>2625</v>
      </c>
      <c r="C21" s="24">
        <f>B24</f>
        <v>2985</v>
      </c>
      <c r="D21" s="32">
        <f t="shared" ref="D21:G21" si="7">C24</f>
        <v>2959.5460158283686</v>
      </c>
      <c r="E21" s="32">
        <f t="shared" si="7"/>
        <v>3095.2196110456434</v>
      </c>
      <c r="F21" s="32">
        <f t="shared" si="7"/>
        <v>3417.8790521407295</v>
      </c>
      <c r="G21" s="11">
        <f t="shared" si="7"/>
        <v>3719.3684213100414</v>
      </c>
    </row>
    <row r="22" spans="1:7" x14ac:dyDescent="0.3">
      <c r="A22" s="24" t="s">
        <v>138</v>
      </c>
      <c r="B22" s="24">
        <f>B18</f>
        <v>560</v>
      </c>
      <c r="C22" s="33">
        <f>C18</f>
        <v>201.97458725694025</v>
      </c>
      <c r="D22" s="33">
        <f t="shared" ref="D22:G22" si="8">D18</f>
        <v>361.16281547086498</v>
      </c>
      <c r="E22" s="33">
        <f t="shared" si="8"/>
        <v>558.48569717475391</v>
      </c>
      <c r="F22" s="33">
        <f t="shared" si="8"/>
        <v>561.89920171336757</v>
      </c>
      <c r="G22" s="10">
        <f t="shared" si="8"/>
        <v>441.32974130935111</v>
      </c>
    </row>
    <row r="23" spans="1:7" x14ac:dyDescent="0.3">
      <c r="A23" s="24" t="s">
        <v>139</v>
      </c>
      <c r="B23" s="24">
        <f>'Income Statement'!C12</f>
        <v>200</v>
      </c>
      <c r="C23" s="33">
        <f>C21*C29</f>
        <v>227.42857142857144</v>
      </c>
      <c r="D23" s="33">
        <f t="shared" ref="D23:G23" si="9">D21*D29</f>
        <v>225.48922025359002</v>
      </c>
      <c r="E23" s="33">
        <f t="shared" si="9"/>
        <v>235.8262560796681</v>
      </c>
      <c r="F23" s="33">
        <f t="shared" si="9"/>
        <v>260.40983254405563</v>
      </c>
      <c r="G23" s="10">
        <f t="shared" si="9"/>
        <v>283.38045114743176</v>
      </c>
    </row>
    <row r="24" spans="1:7" x14ac:dyDescent="0.3">
      <c r="A24" s="25" t="s">
        <v>140</v>
      </c>
      <c r="B24" s="24">
        <f>B21+B22-B23</f>
        <v>2985</v>
      </c>
      <c r="C24" s="33">
        <f>C21+C22-C23</f>
        <v>2959.5460158283686</v>
      </c>
      <c r="D24" s="33">
        <f t="shared" ref="D24:G24" si="10">D21+D22-D23</f>
        <v>3095.2196110456434</v>
      </c>
      <c r="E24" s="33">
        <f t="shared" si="10"/>
        <v>3417.8790521407295</v>
      </c>
      <c r="F24" s="33">
        <f t="shared" si="10"/>
        <v>3719.3684213100414</v>
      </c>
      <c r="G24" s="10">
        <f t="shared" si="10"/>
        <v>3877.317711471961</v>
      </c>
    </row>
    <row r="25" spans="1:7" x14ac:dyDescent="0.3">
      <c r="A25" s="26" t="s">
        <v>178</v>
      </c>
      <c r="B25" s="29"/>
      <c r="C25" s="29"/>
      <c r="D25" s="29"/>
      <c r="E25" s="29"/>
      <c r="F25" s="29"/>
      <c r="G25" s="3"/>
    </row>
    <row r="26" spans="1:7" x14ac:dyDescent="0.3">
      <c r="A26" s="24" t="s">
        <v>179</v>
      </c>
      <c r="B26" s="34"/>
      <c r="C26" s="34"/>
      <c r="D26" s="34"/>
      <c r="E26" s="34"/>
      <c r="F26" s="34"/>
      <c r="G26" s="8"/>
    </row>
    <row r="27" spans="1:7" x14ac:dyDescent="0.3">
      <c r="A27" s="27" t="s">
        <v>180</v>
      </c>
      <c r="B27" s="24"/>
      <c r="C27" s="24"/>
      <c r="D27" s="24"/>
      <c r="E27" s="24"/>
      <c r="F27" s="24"/>
    </row>
    <row r="28" spans="1:7" x14ac:dyDescent="0.3">
      <c r="A28" s="27" t="s">
        <v>181</v>
      </c>
      <c r="B28" s="40"/>
      <c r="C28" s="39">
        <f>Assumptions!C26</f>
        <v>3.5000000000000003E-2</v>
      </c>
      <c r="D28" s="44">
        <f>C28+($G$28-$C$28)/4</f>
        <v>3.2500000000000001E-2</v>
      </c>
      <c r="E28" s="44">
        <f t="shared" ref="E28:F28" si="11">D28+($G$28-$C$28)/4</f>
        <v>0.03</v>
      </c>
      <c r="F28" s="44">
        <f t="shared" si="11"/>
        <v>2.7499999999999997E-2</v>
      </c>
      <c r="G28" s="13">
        <f>Assumptions!G26</f>
        <v>2.5000000000000001E-2</v>
      </c>
    </row>
    <row r="29" spans="1:7" ht="15" thickBot="1" x14ac:dyDescent="0.35">
      <c r="A29" s="28" t="s">
        <v>182</v>
      </c>
      <c r="B29" s="41">
        <f>'Income Statement'!C12/'Balance Sheet'!B9</f>
        <v>7.6190476190476197E-2</v>
      </c>
      <c r="C29" s="43">
        <f>B29</f>
        <v>7.6190476190476197E-2</v>
      </c>
      <c r="D29" s="43">
        <f t="shared" ref="D29:G29" si="12">C29</f>
        <v>7.6190476190476197E-2</v>
      </c>
      <c r="E29" s="43">
        <f t="shared" si="12"/>
        <v>7.6190476190476197E-2</v>
      </c>
      <c r="F29" s="43">
        <f t="shared" si="12"/>
        <v>7.6190476190476197E-2</v>
      </c>
      <c r="G29" s="14">
        <f t="shared" si="12"/>
        <v>7.6190476190476197E-2</v>
      </c>
    </row>
    <row r="30" spans="1:7" x14ac:dyDescent="0.3">
      <c r="A30" s="9"/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9959C-2BDF-4BA6-B247-330DBDC169B1}">
  <dimension ref="A1:G25"/>
  <sheetViews>
    <sheetView zoomScale="71" workbookViewId="0">
      <selection activeCell="A31" sqref="A31"/>
    </sheetView>
  </sheetViews>
  <sheetFormatPr defaultRowHeight="14.4" x14ac:dyDescent="0.3"/>
  <cols>
    <col min="1" max="1" width="68.77734375" customWidth="1"/>
    <col min="2" max="7" width="25.44140625" customWidth="1"/>
  </cols>
  <sheetData>
    <row r="1" spans="1:7" ht="18" x14ac:dyDescent="0.35">
      <c r="A1" s="126" t="s">
        <v>202</v>
      </c>
      <c r="B1" s="126"/>
      <c r="C1" s="126"/>
      <c r="D1" s="126"/>
      <c r="E1" s="126"/>
      <c r="F1" s="126"/>
      <c r="G1" s="126"/>
    </row>
    <row r="2" spans="1:7" ht="15" thickBot="1" x14ac:dyDescent="0.35">
      <c r="A2" s="5" t="s">
        <v>141</v>
      </c>
    </row>
    <row r="3" spans="1:7" ht="15" thickBot="1" x14ac:dyDescent="0.35">
      <c r="A3" s="22"/>
      <c r="B3" s="35" t="s">
        <v>2</v>
      </c>
      <c r="C3" s="35" t="s">
        <v>76</v>
      </c>
      <c r="D3" s="35" t="s">
        <v>77</v>
      </c>
      <c r="E3" s="35" t="s">
        <v>78</v>
      </c>
      <c r="F3" s="35" t="s">
        <v>79</v>
      </c>
      <c r="G3" s="36" t="s">
        <v>80</v>
      </c>
    </row>
    <row r="4" spans="1:7" x14ac:dyDescent="0.3">
      <c r="A4" s="23" t="s">
        <v>142</v>
      </c>
      <c r="B4" s="29"/>
      <c r="C4" s="29"/>
      <c r="D4" s="29"/>
      <c r="E4" s="29"/>
      <c r="F4" s="29"/>
      <c r="G4" s="16"/>
    </row>
    <row r="5" spans="1:7" x14ac:dyDescent="0.3">
      <c r="A5" s="24" t="s">
        <v>143</v>
      </c>
      <c r="B5" s="24">
        <f>'Balance Sheet'!B13</f>
        <v>190</v>
      </c>
      <c r="C5" s="24">
        <f>B8</f>
        <v>190</v>
      </c>
      <c r="D5" s="24">
        <f t="shared" ref="D5:G5" si="0">C8</f>
        <v>190</v>
      </c>
      <c r="E5" s="24">
        <f t="shared" si="0"/>
        <v>190</v>
      </c>
      <c r="F5" s="24">
        <f t="shared" si="0"/>
        <v>190</v>
      </c>
      <c r="G5" s="17">
        <f t="shared" si="0"/>
        <v>190</v>
      </c>
    </row>
    <row r="6" spans="1:7" x14ac:dyDescent="0.3">
      <c r="A6" s="24" t="s">
        <v>144</v>
      </c>
      <c r="B6" s="24"/>
      <c r="C6" s="24">
        <f>Assumptions!$B$28</f>
        <v>0</v>
      </c>
      <c r="D6" s="24">
        <f>Assumptions!$B$28</f>
        <v>0</v>
      </c>
      <c r="E6" s="24">
        <f>Assumptions!$B$28</f>
        <v>0</v>
      </c>
      <c r="F6" s="24">
        <f>Assumptions!$B$28</f>
        <v>0</v>
      </c>
      <c r="G6" s="17">
        <f>Assumptions!$B$28</f>
        <v>0</v>
      </c>
    </row>
    <row r="7" spans="1:7" x14ac:dyDescent="0.3">
      <c r="A7" s="24" t="s">
        <v>145</v>
      </c>
      <c r="B7" s="24"/>
      <c r="C7" s="24">
        <f>Assumptions!$B$29</f>
        <v>0</v>
      </c>
      <c r="D7" s="24">
        <f>Assumptions!$B$29</f>
        <v>0</v>
      </c>
      <c r="E7" s="24">
        <f>Assumptions!$B$29</f>
        <v>0</v>
      </c>
      <c r="F7" s="24">
        <f>Assumptions!$B$29</f>
        <v>0</v>
      </c>
      <c r="G7" s="17">
        <f>Assumptions!$B$29</f>
        <v>0</v>
      </c>
    </row>
    <row r="8" spans="1:7" x14ac:dyDescent="0.3">
      <c r="A8" s="25" t="s">
        <v>146</v>
      </c>
      <c r="B8" s="24">
        <f>'Balance Sheet'!C13</f>
        <v>190</v>
      </c>
      <c r="C8" s="24">
        <f>C5+C6+C7</f>
        <v>190</v>
      </c>
      <c r="D8" s="24">
        <f t="shared" ref="D8:G8" si="1">D5+D6+D7</f>
        <v>190</v>
      </c>
      <c r="E8" s="24">
        <f t="shared" si="1"/>
        <v>190</v>
      </c>
      <c r="F8" s="24">
        <f t="shared" si="1"/>
        <v>190</v>
      </c>
      <c r="G8" s="17">
        <f t="shared" si="1"/>
        <v>190</v>
      </c>
    </row>
    <row r="9" spans="1:7" x14ac:dyDescent="0.3">
      <c r="A9" s="24" t="s">
        <v>147</v>
      </c>
      <c r="B9" s="24"/>
      <c r="C9" s="31">
        <f>WACC!$B$10</f>
        <v>7.4999999999999997E-2</v>
      </c>
      <c r="D9" s="31">
        <f>WACC!$B$10</f>
        <v>7.4999999999999997E-2</v>
      </c>
      <c r="E9" s="31">
        <f>WACC!$B$10</f>
        <v>7.4999999999999997E-2</v>
      </c>
      <c r="F9" s="31">
        <f>WACC!$B$10</f>
        <v>7.4999999999999997E-2</v>
      </c>
      <c r="G9" s="18">
        <f>WACC!$B$10</f>
        <v>7.4999999999999997E-2</v>
      </c>
    </row>
    <row r="10" spans="1:7" x14ac:dyDescent="0.3">
      <c r="A10" s="24" t="s">
        <v>12</v>
      </c>
      <c r="B10" s="24"/>
      <c r="C10" s="32">
        <f>C5*C9</f>
        <v>14.25</v>
      </c>
      <c r="D10" s="32">
        <f t="shared" ref="D10:G10" si="2">D5*D9</f>
        <v>14.25</v>
      </c>
      <c r="E10" s="32">
        <f t="shared" si="2"/>
        <v>14.25</v>
      </c>
      <c r="F10" s="32">
        <f t="shared" si="2"/>
        <v>14.25</v>
      </c>
      <c r="G10" s="19">
        <f t="shared" si="2"/>
        <v>14.25</v>
      </c>
    </row>
    <row r="11" spans="1:7" x14ac:dyDescent="0.3">
      <c r="A11" s="23" t="s">
        <v>148</v>
      </c>
      <c r="B11" s="29"/>
      <c r="C11" s="29"/>
      <c r="D11" s="29"/>
      <c r="E11" s="29"/>
      <c r="F11" s="29"/>
      <c r="G11" s="16"/>
    </row>
    <row r="12" spans="1:7" x14ac:dyDescent="0.3">
      <c r="A12" s="24" t="s">
        <v>143</v>
      </c>
      <c r="B12" s="24">
        <f>'Balance Sheet'!B15</f>
        <v>1700</v>
      </c>
      <c r="C12" s="24">
        <f>B15</f>
        <v>1880</v>
      </c>
      <c r="D12" s="33">
        <f t="shared" ref="D12:G12" si="3">C15</f>
        <v>1886.9872936284701</v>
      </c>
      <c r="E12" s="33">
        <f t="shared" si="3"/>
        <v>1973.219336682479</v>
      </c>
      <c r="F12" s="33">
        <f t="shared" si="3"/>
        <v>2153.8012184357322</v>
      </c>
      <c r="G12" s="20">
        <f t="shared" si="3"/>
        <v>2327.0607583706296</v>
      </c>
    </row>
    <row r="13" spans="1:7" x14ac:dyDescent="0.3">
      <c r="A13" s="24" t="s">
        <v>149</v>
      </c>
      <c r="B13" s="24">
        <f>'Cash Flow Statement'!C17</f>
        <v>280</v>
      </c>
      <c r="C13" s="33">
        <f>C23*'Capacity Expansion'!C18</f>
        <v>100.98729362847013</v>
      </c>
      <c r="D13" s="33">
        <f>D23*'Capacity Expansion'!D18</f>
        <v>180.58140773543249</v>
      </c>
      <c r="E13" s="33">
        <f>E23*'Capacity Expansion'!E18</f>
        <v>279.24284858737695</v>
      </c>
      <c r="F13" s="33">
        <f>F23*'Capacity Expansion'!F18</f>
        <v>280.94960085668379</v>
      </c>
      <c r="G13" s="20">
        <f>G23*'Capacity Expansion'!G18</f>
        <v>220.66487065467555</v>
      </c>
    </row>
    <row r="14" spans="1:7" x14ac:dyDescent="0.3">
      <c r="A14" s="24" t="s">
        <v>150</v>
      </c>
      <c r="B14" s="24">
        <f>'Cash Flow Statement'!C18</f>
        <v>-100</v>
      </c>
      <c r="C14" s="24">
        <f>-C24*C12</f>
        <v>-94</v>
      </c>
      <c r="D14" s="33">
        <f>-D24*D12</f>
        <v>-94.349364681423509</v>
      </c>
      <c r="E14" s="33">
        <f>-E24*E12</f>
        <v>-98.660966834123954</v>
      </c>
      <c r="F14" s="33">
        <f>-F24*F12</f>
        <v>-107.69006092178661</v>
      </c>
      <c r="G14" s="20">
        <f>-G24*G12</f>
        <v>-116.35303791853148</v>
      </c>
    </row>
    <row r="15" spans="1:7" x14ac:dyDescent="0.3">
      <c r="A15" s="25" t="s">
        <v>146</v>
      </c>
      <c r="B15" s="24">
        <f>B12+B13+B14</f>
        <v>1880</v>
      </c>
      <c r="C15" s="32">
        <f>C12+C13+C14</f>
        <v>1886.9872936284701</v>
      </c>
      <c r="D15" s="32">
        <f t="shared" ref="D15:G15" si="4">D12+D13+D14</f>
        <v>1973.219336682479</v>
      </c>
      <c r="E15" s="32">
        <f t="shared" si="4"/>
        <v>2153.8012184357322</v>
      </c>
      <c r="F15" s="32">
        <f t="shared" si="4"/>
        <v>2327.0607583706296</v>
      </c>
      <c r="G15" s="19">
        <f t="shared" si="4"/>
        <v>2431.3725911067741</v>
      </c>
    </row>
    <row r="16" spans="1:7" x14ac:dyDescent="0.3">
      <c r="A16" s="24" t="s">
        <v>147</v>
      </c>
      <c r="B16" s="24"/>
      <c r="C16" s="31">
        <f>WACC!$B$10</f>
        <v>7.4999999999999997E-2</v>
      </c>
      <c r="D16" s="31">
        <f>WACC!$B$10</f>
        <v>7.4999999999999997E-2</v>
      </c>
      <c r="E16" s="31">
        <f>WACC!$B$10</f>
        <v>7.4999999999999997E-2</v>
      </c>
      <c r="F16" s="31">
        <f>WACC!$B$10</f>
        <v>7.4999999999999997E-2</v>
      </c>
      <c r="G16" s="18">
        <f>WACC!$B$10</f>
        <v>7.4999999999999997E-2</v>
      </c>
    </row>
    <row r="17" spans="1:7" x14ac:dyDescent="0.3">
      <c r="A17" s="24" t="s">
        <v>12</v>
      </c>
      <c r="B17" s="24"/>
      <c r="C17" s="24">
        <f>C12*C16</f>
        <v>141</v>
      </c>
      <c r="D17" s="32">
        <f t="shared" ref="D17:G17" si="5">D12*D16</f>
        <v>141.52404702213525</v>
      </c>
      <c r="E17" s="32">
        <f t="shared" si="5"/>
        <v>147.99145025118591</v>
      </c>
      <c r="F17" s="32">
        <f t="shared" si="5"/>
        <v>161.53509138267989</v>
      </c>
      <c r="G17" s="19">
        <f t="shared" si="5"/>
        <v>174.52955687779721</v>
      </c>
    </row>
    <row r="18" spans="1:7" x14ac:dyDescent="0.3">
      <c r="A18" s="23" t="s">
        <v>151</v>
      </c>
      <c r="B18" s="29"/>
      <c r="C18" s="29"/>
      <c r="D18" s="29"/>
      <c r="E18" s="29"/>
      <c r="F18" s="29"/>
      <c r="G18" s="16"/>
    </row>
    <row r="19" spans="1:7" x14ac:dyDescent="0.3">
      <c r="A19" s="25" t="s">
        <v>152</v>
      </c>
      <c r="B19" s="24">
        <f t="shared" ref="B19:G19" si="6">B8+B15</f>
        <v>2070</v>
      </c>
      <c r="C19" s="32">
        <f t="shared" si="6"/>
        <v>2076.9872936284701</v>
      </c>
      <c r="D19" s="32">
        <f t="shared" si="6"/>
        <v>2163.219336682479</v>
      </c>
      <c r="E19" s="32">
        <f t="shared" si="6"/>
        <v>2343.8012184357322</v>
      </c>
      <c r="F19" s="32">
        <f t="shared" si="6"/>
        <v>2517.0607583706296</v>
      </c>
      <c r="G19" s="19">
        <f t="shared" si="6"/>
        <v>2621.3725911067741</v>
      </c>
    </row>
    <row r="20" spans="1:7" x14ac:dyDescent="0.3">
      <c r="A20" s="25" t="s">
        <v>153</v>
      </c>
      <c r="B20" s="24">
        <f>'Income Statement'!C14</f>
        <v>85</v>
      </c>
      <c r="C20" s="32">
        <f>C10+C17</f>
        <v>155.25</v>
      </c>
      <c r="D20" s="32">
        <f>D10+D17</f>
        <v>155.77404702213525</v>
      </c>
      <c r="E20" s="32">
        <f>E10+E17</f>
        <v>162.24145025118591</v>
      </c>
      <c r="F20" s="32">
        <f>F10+F17</f>
        <v>175.78509138267989</v>
      </c>
      <c r="G20" s="19">
        <f>G10+G17</f>
        <v>188.77955687779721</v>
      </c>
    </row>
    <row r="21" spans="1:7" x14ac:dyDescent="0.3">
      <c r="A21" s="24" t="s">
        <v>154</v>
      </c>
      <c r="B21" s="24">
        <f>'Balance Sheet'!C5</f>
        <v>482.5</v>
      </c>
      <c r="C21" s="24">
        <f>'Balance Sheet'!D5</f>
        <v>400</v>
      </c>
      <c r="D21" s="24">
        <f>'Balance Sheet'!E5</f>
        <v>400</v>
      </c>
      <c r="E21" s="24">
        <f>'Balance Sheet'!F5</f>
        <v>400</v>
      </c>
      <c r="F21" s="24">
        <f>'Balance Sheet'!G5</f>
        <v>728.866296857105</v>
      </c>
      <c r="G21" s="17">
        <f>'Balance Sheet'!H5</f>
        <v>1515.5568711708891</v>
      </c>
    </row>
    <row r="22" spans="1:7" x14ac:dyDescent="0.3">
      <c r="A22" s="26" t="s">
        <v>175</v>
      </c>
      <c r="B22" s="29"/>
      <c r="C22" s="29"/>
      <c r="D22" s="29"/>
      <c r="E22" s="29"/>
      <c r="F22" s="29"/>
      <c r="G22" s="16"/>
    </row>
    <row r="23" spans="1:7" x14ac:dyDescent="0.3">
      <c r="A23" s="27" t="s">
        <v>176</v>
      </c>
      <c r="B23" s="24"/>
      <c r="C23" s="122">
        <f>Assumptions!$B$30</f>
        <v>0.5</v>
      </c>
      <c r="D23" s="122">
        <f>Assumptions!$B$30</f>
        <v>0.5</v>
      </c>
      <c r="E23" s="122">
        <f>Assumptions!$B$30</f>
        <v>0.5</v>
      </c>
      <c r="F23" s="122">
        <f>Assumptions!$B$30</f>
        <v>0.5</v>
      </c>
      <c r="G23" s="123">
        <f>Assumptions!$B$30</f>
        <v>0.5</v>
      </c>
    </row>
    <row r="24" spans="1:7" x14ac:dyDescent="0.3">
      <c r="A24" s="27" t="s">
        <v>173</v>
      </c>
      <c r="B24" s="24"/>
      <c r="C24" s="122">
        <f>Assumptions!$B$31</f>
        <v>0.05</v>
      </c>
      <c r="D24" s="122">
        <f>Assumptions!$B$31</f>
        <v>0.05</v>
      </c>
      <c r="E24" s="122">
        <f>Assumptions!$B$31</f>
        <v>0.05</v>
      </c>
      <c r="F24" s="122">
        <f>Assumptions!$B$31</f>
        <v>0.05</v>
      </c>
      <c r="G24" s="123">
        <f>Assumptions!$B$31</f>
        <v>0.05</v>
      </c>
    </row>
    <row r="25" spans="1:7" ht="15" thickBot="1" x14ac:dyDescent="0.35">
      <c r="A25" s="28" t="s">
        <v>177</v>
      </c>
      <c r="B25" s="30"/>
      <c r="C25" s="45">
        <f>Assumptions!$B$32</f>
        <v>400</v>
      </c>
      <c r="D25" s="45">
        <f>Assumptions!$B$32</f>
        <v>400</v>
      </c>
      <c r="E25" s="45">
        <f>Assumptions!$B$32</f>
        <v>400</v>
      </c>
      <c r="F25" s="45">
        <f>Assumptions!$B$32</f>
        <v>400</v>
      </c>
      <c r="G25" s="83">
        <f>Assumptions!$B$32</f>
        <v>400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Assumptions</vt:lpstr>
      <vt:lpstr>Income Statement</vt:lpstr>
      <vt:lpstr>Balance Sheet</vt:lpstr>
      <vt:lpstr>Cash Flow Statement</vt:lpstr>
      <vt:lpstr>WACC</vt:lpstr>
      <vt:lpstr>DCF Valuation</vt:lpstr>
      <vt:lpstr>Revenue &amp; Cost Drivers</vt:lpstr>
      <vt:lpstr>Capacity Expansion</vt:lpstr>
      <vt:lpstr>Debt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Pulin Aggarwal</dc:creator>
  <cp:lastModifiedBy>pushp sejwal</cp:lastModifiedBy>
  <dcterms:created xsi:type="dcterms:W3CDTF">2026-09-13T15:24:57Z</dcterms:created>
  <dcterms:modified xsi:type="dcterms:W3CDTF">2026-10-16T05:00:24Z</dcterms:modified>
</cp:coreProperties>
</file>